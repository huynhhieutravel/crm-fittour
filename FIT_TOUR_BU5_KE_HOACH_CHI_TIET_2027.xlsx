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_THIET_LAP_BU" state="visible" r:id="rId4"/>
    <sheet sheetId="2" name="2_PNL_SAN_PHAM" state="visible" r:id="rId5"/>
    <sheet sheetId="3" name="3_LICH_BAY_DONG_TIEN_MKT" state="visible" r:id="rId6"/>
    <sheet sheetId="4" name="4_KICH_BAN_KINH_DOANH" state="visible" r:id="rId7"/>
  </sheets>
  <calcPr calcId="171027"/>
</workbook>
</file>

<file path=xl/sharedStrings.xml><?xml version="1.0" encoding="utf-8"?>
<sst xmlns="http://schemas.openxmlformats.org/spreadsheetml/2006/main" count="347" uniqueCount="233">
  <si>
    <t>FIT TOUR — BẢN MẪU KẾ HOẠCH TÀI CHÍNH &amp; MARKETING 2027</t>
  </si>
  <si>
    <t>Chuẩn hóa quy trình lập kế hoạch sản phẩm, P&amp;L và ma trận dòng tiền Marketing cho 5 Business Units (BU1 - BU5)</t>
  </si>
  <si>
    <t>THÔNG TIN ĐƠN VỊ (METADATA)</t>
  </si>
  <si>
    <t/>
  </si>
  <si>
    <t>HƯỚNG DẪN THỰC HIỆN</t>
  </si>
  <si>
    <t>Business Unit (Mã đơn vị)</t>
  </si>
  <si>
    <t>BU5</t>
  </si>
  <si>
    <t>Chọn từ BU1 đến BU5</t>
  </si>
  <si>
    <t>Tên Đơn Vị / Thị Trường</t>
  </si>
  <si>
    <t>Thị Trường Độc Bản - Xa Xôi &amp; Khám Phá</t>
  </si>
  <si>
    <t>Tên đầy đủ của BU</t>
  </si>
  <si>
    <t>Trưởng BU / Người Lập Kế Hoạch</t>
  </si>
  <si>
    <t>Phạm Tuấn Hưng / Huỳnh Trọng Hiếu</t>
  </si>
  <si>
    <t>Chịu trách nhiệm số liệu</t>
  </si>
  <si>
    <t>Năm Kế Hoạch Tài Chính</t>
  </si>
  <si>
    <t>Năm triển khai kinh doanh chính thức</t>
  </si>
  <si>
    <t>Chu Kỳ Theo Dõi Dòng Tiền</t>
  </si>
  <si>
    <t>08/2026 - 10/2027 (15 Tháng)</t>
  </si>
  <si>
    <t>Gồm các tháng chuẩn bị lead-time cuối 2026</t>
  </si>
  <si>
    <t>Định Mức Ngân Sách Marketing FIT Tour</t>
  </si>
  <si>
    <t>Chuẩn công ty: 1.00% Doanh thu</t>
  </si>
  <si>
    <t>Chế Độ Phân Bổ Ngân Sách MKT</t>
  </si>
  <si>
    <t>Phân bổ đều theo Lead-time</t>
  </si>
  <si>
    <t>Tự động chia đều cho N tháng chạy trước</t>
  </si>
  <si>
    <t>Trạng Thái Phê Duyệt</t>
  </si>
  <si>
    <t>Kế hoạch đã trình duyệt</t>
  </si>
  <si>
    <t>Chờ duyệt / Đã duyệt / Dự thảo</t>
  </si>
  <si>
    <t>QUY TRÌNH 4 BƯỚC HOÀN THIỆN KẾ HOẠCH DÀNH CHO TRƯỞNG BU</t>
  </si>
  <si>
    <t>Bước 1 (Tab 2 - PRODUCT_PNL): Điền danh mục các tuyến tour dự kiến mở bán trong năm 2027. Nhập Giá bán, Giá vốn và Định phí dự kiến. Các cột Doanh thu, Lãi gộp, Biên LN và Điểm hòa vốn sẽ TỰ ĐỘNG TÍNH.</t>
  </si>
  <si>
    <t>Bước 2 (Tab 3 - DEPARTURE_CASHFLOW): Nhập lịch khởi hành chi tiết từng đoàn. Phân loại rõ: [Chính thức] (đoàn chốt bán) hoặc [Mở rộng / Dự phòng] (đoàn trần năng lực mở thêm khi nhu cầu cao).</t>
  </si>
  <si>
    <t>Bước 3 (Tab 3 - LEAD TIME): Điền số tháng chạy Marketing trước ngày khởi hành (Lead-time: 1-10 tháng). Công thức sẽ TỰ ĐỘNG DÀN NGÂN SÁCH MKT RA 15 THÁNG và TỰ ĐỘNG GOM THÀNH 5 QUÝ.</t>
  </si>
  <si>
    <t>Bước 4 (Tab 4 - SCENARIOS_SUMMARY): Xem bảng phân tích 3 Kịch bản (Thận trọng 80%, Cơ sở 100%, Tăng trưởng 110%) được tự động tính toán liên kết từ Tab 2 &amp; Tab 3 để trình Ban Giám Đốc phê duyệt.</t>
  </si>
  <si>
    <t>BẢNG ĐỊNH GIÁ &amp; P&amp;L SẢN PHẨM KẾ HOẠCH NĂM 2027</t>
  </si>
  <si>
    <t>Lưu ý: Các cột màu xanh lá là dữ liệu Trưởng BU nhập; các cột màu xám/xanh dương là CÔNG THỨC TỰ ĐỘNG TÍNH.</t>
  </si>
  <si>
    <t>STT</t>
  </si>
  <si>
    <t>Mã Tuyến</t>
  </si>
  <si>
    <t>Tên Sản Phẩm / Tuyến Tour</t>
  </si>
  <si>
    <t>Phân Loại Tuyến</t>
  </si>
  <si>
    <t>Số Đoàn (Trần P&amp;L)</t>
  </si>
  <si>
    <t>Khách / Đoàn</t>
  </si>
  <si>
    <t>Tổng Khách</t>
  </si>
  <si>
    <t>Giá Bán / Khách (VND)</t>
  </si>
  <si>
    <t>Chi Phí / Khách (VND)</t>
  </si>
  <si>
    <t>Định Phí Điều Hành / Đoàn (VND)</t>
  </si>
  <si>
    <t>Doanh Thu P&amp;L (VND)</t>
  </si>
  <si>
    <t>Tổng Chi Phí (VND)</t>
  </si>
  <si>
    <t>Lãi Gộp P&amp;L (VND)</t>
  </si>
  <si>
    <t>Biên LN Gộp (%)</t>
  </si>
  <si>
    <t>Điểm Hòa Vốn (Pax/Đoàn)</t>
  </si>
  <si>
    <t>Ghi Chú Chiến Lược</t>
  </si>
  <si>
    <t>pakistan</t>
  </si>
  <si>
    <t>Pakistan</t>
  </si>
  <si>
    <t>Tuyến trụ cột</t>
  </si>
  <si>
    <t>Mùa hoa anh đào &amp; Thu Hunza</t>
  </si>
  <si>
    <t>aicap</t>
  </si>
  <si>
    <t>Ai Cập</t>
  </si>
  <si>
    <t>Du thuyền Nile 5 sao (2 đoàn chuẩn + 2 đoàn mở rộng)</t>
  </si>
  <si>
    <t>maroc</t>
  </si>
  <si>
    <t>Maroc</t>
  </si>
  <si>
    <t>Viên ngọc Bắc Phi (3 đoàn chuẩn + 1 đoàn mở rộng)</t>
  </si>
  <si>
    <t>nga</t>
  </si>
  <si>
    <t>Nga - Bắc Cực Quang</t>
  </si>
  <si>
    <t>Tuyến mùa vụ</t>
  </si>
  <si>
    <t>Săn Cực Quang Murmansk mùa đông (3 đoàn T2)</t>
  </si>
  <si>
    <t>baikal</t>
  </si>
  <si>
    <t>Baikal</t>
  </si>
  <si>
    <t>Tuyến khảo sát hồ băng (Dự bị / Thử nghiệm)</t>
  </si>
  <si>
    <t>mongco</t>
  </si>
  <si>
    <t>Mông Cổ</t>
  </si>
  <si>
    <t>Volume chủ lực mùa hè (T6-T9, 6 đoàn)</t>
  </si>
  <si>
    <t>trunga</t>
  </si>
  <si>
    <t>Trung Á</t>
  </si>
  <si>
    <t>Con đường tơ lụa hè (4 đoàn T6-T9)</t>
  </si>
  <si>
    <t>alaska</t>
  </si>
  <si>
    <t>Alaska</t>
  </si>
  <si>
    <t>Tuyến định vị</t>
  </si>
  <si>
    <t>Định vị hoang dã Bắc Mỹ (T7 hè &amp; T8-9 lễ)</t>
  </si>
  <si>
    <t>nammy</t>
  </si>
  <si>
    <t>Nam Mỹ</t>
  </si>
  <si>
    <t>Đường xa đỉnh cao (Biên LN cao nhất: 18.4%)</t>
  </si>
  <si>
    <t>namibia</t>
  </si>
  <si>
    <t>Namibia</t>
  </si>
  <si>
    <t>Wildlife &amp; Sa mạc đỏ Sossusvlei (T9/2027)</t>
  </si>
  <si>
    <t>bacmongco</t>
  </si>
  <si>
    <t>Bắc Mông Cổ</t>
  </si>
  <si>
    <t>Tuyến phát triển</t>
  </si>
  <si>
    <t>Bộ tộc tuần lộc Tsaatan &amp; Hồ Khovsgol</t>
  </si>
  <si>
    <t>TỔNG</t>
  </si>
  <si>
    <t>TỔNG CỘNG DANH MỤC SẢN PHẨM (TRẦN P&amp;L)</t>
  </si>
  <si>
    <t>MA TRẬN LỊCH KHỞI HÀNH &amp; PHÂN BỔ DÒNG TIỀN MARKETING KẾ HOẠCH 2027</t>
  </si>
  <si>
    <t>THÔNG TIN VẬN HÀNH &amp; ĐỊNH MỨC</t>
  </si>
  <si>
    <t>MA TRẬN DÒNG TIỀN MARKETING THEO 15 THÁNG (GIẢI NGÂN TRƯỚC THEO LEAD TIME)</t>
  </si>
  <si>
    <t>GOM DÒNG TIỀN THEO 5 QUÝ (DỄ PHÂN TIỀN / DUYỆT NGÂN SÁCH)</t>
  </si>
  <si>
    <t>Phân Loại Đoàn</t>
  </si>
  <si>
    <t>Tên Đợt Khởi Hành</t>
  </si>
  <si>
    <t>Tháng Bay</t>
  </si>
  <si>
    <t>Thời Điểm</t>
  </si>
  <si>
    <t>Số Đoàn</t>
  </si>
  <si>
    <t>Pax / Đoàn</t>
  </si>
  <si>
    <t>Tổng Pax</t>
  </si>
  <si>
    <t>Giá Bán / Khách</t>
  </si>
  <si>
    <t>Doanh Thu Đoàn (VND)</t>
  </si>
  <si>
    <t>% MKT</t>
  </si>
  <si>
    <t>Ngân Sách MKT (VND)</t>
  </si>
  <si>
    <t>Lead Time (T)</t>
  </si>
  <si>
    <t>Tháng Bắt Đầu</t>
  </si>
  <si>
    <t>T08/26</t>
  </si>
  <si>
    <t>T09/26</t>
  </si>
  <si>
    <t>T10/26</t>
  </si>
  <si>
    <t>T11/26</t>
  </si>
  <si>
    <t>T12/26</t>
  </si>
  <si>
    <t>T01/27</t>
  </si>
  <si>
    <t>T02/27</t>
  </si>
  <si>
    <t>T03/27</t>
  </si>
  <si>
    <t>T04/27</t>
  </si>
  <si>
    <t>T05/27</t>
  </si>
  <si>
    <t>T06/27</t>
  </si>
  <si>
    <t>T07/27</t>
  </si>
  <si>
    <t>T08/27</t>
  </si>
  <si>
    <t>T09/27</t>
  </si>
  <si>
    <t>T10/27</t>
  </si>
  <si>
    <t>Q4/2026</t>
  </si>
  <si>
    <t>Q1/2027</t>
  </si>
  <si>
    <t>Q2/2027</t>
  </si>
  <si>
    <t>Q3/2027</t>
  </si>
  <si>
    <t>Q4/2027</t>
  </si>
  <si>
    <t>Chính thức</t>
  </si>
  <si>
    <t>Ai Cập mùa thu</t>
  </si>
  <si>
    <t>2026-11</t>
  </si>
  <si>
    <t>11/2026</t>
  </si>
  <si>
    <t>3 tháng trước</t>
  </si>
  <si>
    <t>Maroc mùa thu</t>
  </si>
  <si>
    <t>Ai Cập mùa đông</t>
  </si>
  <si>
    <t>2026-12</t>
  </si>
  <si>
    <t>12/2026</t>
  </si>
  <si>
    <t>Ai Cập Tết Đinh Mùi</t>
  </si>
  <si>
    <t>2027-02</t>
  </si>
  <si>
    <t>02/2027</t>
  </si>
  <si>
    <t>4 tháng trước</t>
  </si>
  <si>
    <t>Maroc Tết Đinh Mùi</t>
  </si>
  <si>
    <t>Nga - Săn Cực Quang Murmansk (3 Đoàn)</t>
  </si>
  <si>
    <t>5 tháng trước</t>
  </si>
  <si>
    <t>Maroc Mùa Xuân</t>
  </si>
  <si>
    <t>2027-03</t>
  </si>
  <si>
    <t>03/2027</t>
  </si>
  <si>
    <t>Pakistan Mùa Hoa Anh Đào (2 Đoàn)</t>
  </si>
  <si>
    <t>Ai Cập Dịp Lễ 30/4</t>
  </si>
  <si>
    <t>2027-04</t>
  </si>
  <si>
    <t>04/2027</t>
  </si>
  <si>
    <t>Maroc Dịp Lễ 30/4</t>
  </si>
  <si>
    <t>Mông Cổ Đầu Hè</t>
  </si>
  <si>
    <t>2027-06</t>
  </si>
  <si>
    <t>06/2027</t>
  </si>
  <si>
    <t>Trung Á Đầu Hè</t>
  </si>
  <si>
    <t>Mông Cổ Cao Điểm Naadam (2 Đoàn)</t>
  </si>
  <si>
    <t>2027-07</t>
  </si>
  <si>
    <t>07/2027</t>
  </si>
  <si>
    <t>Trung Á Cao Điểm Hè</t>
  </si>
  <si>
    <t>Alaska Hoang Dã Mùa Hè</t>
  </si>
  <si>
    <t>8 tháng trước</t>
  </si>
  <si>
    <t>Mông Cổ Thảo Nguyên (2 Đoàn)</t>
  </si>
  <si>
    <t>2027-08</t>
  </si>
  <si>
    <t>08/2027</t>
  </si>
  <si>
    <t>Trung Á Mùa Thu Hoạch</t>
  </si>
  <si>
    <t>Alaska Thu Vàng &amp; Lễ 2/9</t>
  </si>
  <si>
    <t>08-09/2027</t>
  </si>
  <si>
    <t>Mông Cổ Mùa Thu Vàng</t>
  </si>
  <si>
    <t>2027-09</t>
  </si>
  <si>
    <t>09/2027</t>
  </si>
  <si>
    <t>Trung Á Mùa Thu Tơ Lụa</t>
  </si>
  <si>
    <t>Nam Mỹ Huyền Thoại (4 Nước)</t>
  </si>
  <si>
    <t>10 tháng trước</t>
  </si>
  <si>
    <t>Namibia - Sa Mạc Đỏ Sossusvlei</t>
  </si>
  <si>
    <t>6 tháng trước</t>
  </si>
  <si>
    <t>Bắc Mông Cổ - Tuần Lộc Tsaatan</t>
  </si>
  <si>
    <t>09-10/2027</t>
  </si>
  <si>
    <t>Pakistan Mùa Thu Hunza (2 Đoàn)</t>
  </si>
  <si>
    <t>2027-10</t>
  </si>
  <si>
    <t>10/2027</t>
  </si>
  <si>
    <t>Mở rộng / Dự phòng</t>
  </si>
  <si>
    <t>Ai Cập Mở Rộng 1 (Waitlist Tết)</t>
  </si>
  <si>
    <t>Ai Cập Mở Rộng 2 (Waitlist Thu)</t>
  </si>
  <si>
    <t>2027-11</t>
  </si>
  <si>
    <t>11/2027</t>
  </si>
  <si>
    <t>Maroc Mở Rộng (Waitlist Lễ)</t>
  </si>
  <si>
    <t>TỔNG ĐOÀN CHÍNH THỨC</t>
  </si>
  <si>
    <t>TỔNG ĐOÀN MỞ RỘNG</t>
  </si>
  <si>
    <t>TỔNG TOÀN BỘ KẾ HOẠCH (TRẦN P&amp;L)</t>
  </si>
  <si>
    <t>BẢNG PHÂN TÍCH 3 KỊCH BẢN KINH DOANH BU KẾ HOẠCH 2027</t>
  </si>
  <si>
    <t>Tự động tính toán theo công thức liên kết từ Tab 2 (P&amp;L) và Tab 3 (Lịch Khởi Hành). Không cần nhập tay.</t>
  </si>
  <si>
    <t>CHỈ TIÊU TÀI CHÍNH / VẬN HÀNH</t>
  </si>
  <si>
    <t>THẬN TRỌNG (80%)</t>
  </si>
  <si>
    <t>CƠ SỞ (100% DUYỆT)</t>
  </si>
  <si>
    <t>TĂNG TRƯỞNG (110%)</t>
  </si>
  <si>
    <t>ĐỊNH HƯỚNG CHIẾN LƯỢC &amp; HÀNH ĐỘNG</t>
  </si>
  <si>
    <t>Tỷ lệ hoàn thành mục tiêu</t>
  </si>
  <si>
    <t>80%</t>
  </si>
  <si>
    <t>100%</t>
  </si>
  <si>
    <t>110%</t>
  </si>
  <si>
    <t>Mức độ hấp thụ thị trường</t>
  </si>
  <si>
    <t>Số đoàn khởi hành</t>
  </si>
  <si>
    <t>Đoàn vận hành thực tế</t>
  </si>
  <si>
    <t>Số khách bình quân / đoàn</t>
  </si>
  <si>
    <t>Sĩ số khách trung bình</t>
  </si>
  <si>
    <t>Tổng số lượt khách (Pax)</t>
  </si>
  <si>
    <t>Quy mô khách phục vụ</t>
  </si>
  <si>
    <t>Hệ số điều chỉnh giá bán</t>
  </si>
  <si>
    <t>0.98x (Giảm giá nhẹ)</t>
  </si>
  <si>
    <t>1.00x (Chuẩn)</t>
  </si>
  <si>
    <t>Chiết khấu kích cầu khi thị trường chậm</t>
  </si>
  <si>
    <t>Hệ số chi phí trực tiếp</t>
  </si>
  <si>
    <t>1.03x (Tăng do đoàn nhỏ)</t>
  </si>
  <si>
    <t>0.98x (Tối ưu volume)</t>
  </si>
  <si>
    <t>Quy mô kinh tế (Economies of Scale)</t>
  </si>
  <si>
    <t>Doanh thu kế hoạch (VND)</t>
  </si>
  <si>
    <t>Tổng doanh thu ghi nhận</t>
  </si>
  <si>
    <t>Tổng chi phí trực tiếp (VND)</t>
  </si>
  <si>
    <t>Giá vốn landtour, vé máy bay &amp; visa</t>
  </si>
  <si>
    <t>Lợi nhuận gộp P&amp;L (VND)</t>
  </si>
  <si>
    <t>Thặng dư vận hành trước Marketing</t>
  </si>
  <si>
    <t>Biên Lợi Nhuận Gộp (%)</t>
  </si>
  <si>
    <t>Tỷ suất lợi nhuận gộp</t>
  </si>
  <si>
    <t>Ngân sách Marketing 1% (VND)</t>
  </si>
  <si>
    <t>Quỹ xúc tiến khách hàng mới (1% DT)</t>
  </si>
  <si>
    <t>Lãi đóng góp sau MKT (VND)</t>
  </si>
  <si>
    <t>Lợi nhuận đóng góp vào chi phí bộ máy</t>
  </si>
  <si>
    <t>KẾ HOẠCH HÀNH ĐỘNG CỤ THỂ THEO TỪNG KỊCH BẢN:</t>
  </si>
  <si>
    <t>Kịch bản Thận trọng (80%)</t>
  </si>
  <si>
    <t>Ưu tiên tối đa các tuyến trụ cột có biên an toàn cao; tạm dừng mở bán tuyến mới nếu chưa đạt điểm hòa vốn 6 pax trước 45 ngày.</t>
  </si>
  <si>
    <t>Kịch bản Cơ sở (100%)</t>
  </si>
  <si>
    <t>Kế hoạch mục tiêu chính thức trình BOD phê duyệt. Phân bổ ngân sách Marketing theo đúng tiến độ 5 quý; mở bán đúng 10 khách/đoàn.</t>
  </si>
  <si>
    <t>Kịch bản Tăng trưởng (110%)</t>
  </si>
  <si>
    <t>Kích hoạt cả 3 đoàn dự phòng mở rộng và tăng chỉ tiêu sĩ số lên 12 pax/đoàn khi waitlist ghi nhận nhu cầu bùng nổ.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</si>
</sst>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 &quot;đ&quot;"/>
  </numFmts>
  <fonts count="19" x14ac:knownFonts="1">
    <font>
      <color theme="1"/>
      <family val="2"/>
      <scheme val="minor"/>
      <sz val="11"/>
      <name val="Calibri"/>
    </font>
    <font>
      <b/>
      <color rgb="FFFFFFFF"/>
      <sz val="14"/>
      <name val="Arial"/>
    </font>
    <font>
      <i/>
      <color rgb="FF64748B"/>
      <sz val="10"/>
      <name val="Arial"/>
    </font>
    <font>
      <b/>
      <color rgb="FFFFFFFF"/>
      <sz val="11"/>
      <name val="Arial"/>
    </font>
    <font>
      <b/>
      <color rgb="FF334155"/>
      <sz val="10"/>
      <name val="Arial"/>
    </font>
    <font>
      <color rgb="FF0F172A"/>
      <sz val="10"/>
      <name val="Arial"/>
    </font>
    <font>
      <i/>
      <color rgb="FF64748B"/>
      <sz val="9"/>
      <name val="Arial"/>
    </font>
    <font>
      <color rgb="FF1E293B"/>
      <sz val="9.5"/>
      <name val="Arial"/>
    </font>
    <font>
      <b/>
      <color rgb="FFFFFFFF"/>
      <sz val="13"/>
      <name val="Arial"/>
    </font>
    <font>
      <i/>
      <color rgb="FF64748B"/>
      <sz val="9.5"/>
      <name val="Arial"/>
    </font>
    <font>
      <sz val="9.5"/>
      <name val="Arial"/>
    </font>
    <font>
      <b/>
      <color rgb="FF0F172A"/>
      <sz val="10"/>
      <name val="Arial"/>
    </font>
    <font>
      <b/>
      <color rgb="FFFFFFFF"/>
      <sz val="10"/>
      <name val="Arial"/>
    </font>
    <font>
      <sz val="9"/>
      <name val="Arial"/>
    </font>
    <font>
      <b/>
      <color rgb="FF0369A1"/>
      <sz val="9.5"/>
      <name val="Arial"/>
    </font>
    <font>
      <b/>
      <color rgb="FF92400E"/>
      <sz val="9.5"/>
      <name val="Arial"/>
    </font>
    <font>
      <b/>
      <sz val="9.5"/>
      <name val="Arial"/>
    </font>
    <font>
      <b/>
      <color rgb="FF0F172A"/>
      <sz val="9.5"/>
      <name val="Arial"/>
    </font>
    <font>
      <i/>
      <color rgb="FF334155"/>
      <sz val="9"/>
      <name val="Arial"/>
    </font>
  </fonts>
  <fills count="10">
    <fill>
      <patternFill patternType="none"/>
    </fill>
    <fill>
      <patternFill patternType="gray125"/>
    </fill>
    <fill>
      <patternFill patternType="solid">
        <fgColor rgb="FF0F172A"/>
      </patternFill>
    </fill>
    <fill>
      <patternFill patternType="solid">
        <fgColor rgb="FF0284C7"/>
      </patternFill>
    </fill>
    <fill>
      <patternFill patternType="solid">
        <fgColor rgb="FF15803D"/>
      </patternFill>
    </fill>
    <fill>
      <patternFill patternType="solid">
        <fgColor rgb="FFF1F5F9"/>
      </patternFill>
    </fill>
    <fill>
      <patternFill patternType="solid">
        <fgColor rgb="FF6B21A8"/>
      </patternFill>
    </fill>
    <fill>
      <patternFill patternType="solid">
        <fgColor rgb="FFE0F2FE"/>
      </patternFill>
    </fill>
    <fill>
      <patternFill patternType="solid">
        <fgColor rgb="FFFEF3C7"/>
      </patternFill>
    </fill>
    <fill>
      <patternFill patternType="solid">
        <fgColor rgb="FFE2E8F0"/>
      </patternFill>
    </fill>
  </fills>
  <borders count="3">
    <border>
      <left/>
      <right/>
      <top/>
      <bottom/>
      <diagonal/>
    </border>
    <border>
      <left style="thin">
        <color rgb="FFE2E8F0"/>
      </left>
      <right style="thin">
        <color rgb="FFE2E8F0"/>
      </right>
      <top style="thin">
        <color rgb="FFE2E8F0"/>
      </top>
      <bottom style="thin">
        <color rgb="FFE2E8F0"/>
      </bottom>
      <diagonal/>
    </border>
    <border>
      <left/>
      <right/>
      <top style="thin">
        <color rgb="FF94A3B8"/>
      </top>
      <bottom style="double">
        <color rgb="FF0F172A"/>
      </bottom>
      <diagonal/>
    </border>
  </borders>
  <cellStyleXfs count="1">
    <xf numFmtId="0" fontId="0" fillId="0" borderId="0"/>
  </cellStyleXfs>
  <cellXfs count="39">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3" borderId="0" xfId="0" applyFont="1" applyFill="1"/>
    <xf numFmtId="0" fontId="0" fillId="3" borderId="0" xfId="0" applyFill="1"/>
    <xf numFmtId="0" fontId="4" fillId="0" borderId="1" xfId="0" applyFont="1" applyBorder="1"/>
    <xf numFmtId="0" fontId="5" fillId="0" borderId="1" xfId="0" applyFont="1" applyBorder="1"/>
    <xf numFmtId="0" fontId="6" fillId="0" borderId="1" xfId="0" applyFont="1" applyBorder="1"/>
    <xf numFmtId="164" fontId="5" fillId="0" borderId="1" xfId="0" applyNumberFormat="1" applyFont="1" applyBorder="1"/>
    <xf numFmtId="0" fontId="3" fillId="4" borderId="0" xfId="0" applyFont="1" applyFill="1"/>
    <xf numFmtId="0" fontId="7" fillId="0" borderId="1" xfId="0" applyFont="1" applyBorder="1" applyAlignment="1">
      <alignment vertical="center" wrapText="1"/>
    </xf>
    <xf numFmtId="0" fontId="8" fillId="2" borderId="0" xfId="0" applyFont="1" applyFill="1" applyAlignment="1">
      <alignment horizontal="center" vertical="center"/>
    </xf>
    <xf numFmtId="0" fontId="9" fillId="0" borderId="0" xfId="0" applyFont="1" applyAlignment="1">
      <alignment horizontal="center" vertical="center"/>
    </xf>
    <xf numFmtId="0" fontId="3" fillId="2" borderId="0" xfId="0" applyFont="1" applyFill="1" applyAlignment="1">
      <alignment horizontal="center" vertical="center" wrapText="1"/>
    </xf>
    <xf numFmtId="0" fontId="10" fillId="0" borderId="1" xfId="0" applyFont="1" applyBorder="1" applyAlignment="1">
      <alignment horizontal="center" vertical="center"/>
    </xf>
    <xf numFmtId="0" fontId="10" fillId="0" borderId="1" xfId="0" applyFont="1" applyBorder="1"/>
    <xf numFmtId="165" fontId="10" fillId="0" borderId="1" xfId="0" applyNumberFormat="1" applyFont="1" applyBorder="1"/>
    <xf numFmtId="164" fontId="10" fillId="0" borderId="1" xfId="0" applyNumberFormat="1" applyFont="1" applyBorder="1"/>
    <xf numFmtId="3" fontId="10" fillId="0" borderId="1" xfId="0" applyNumberFormat="1" applyFont="1" applyBorder="1" applyAlignment="1">
      <alignment horizontal="center" vertical="center"/>
    </xf>
    <xf numFmtId="0" fontId="11" fillId="5" borderId="2" xfId="0" applyFont="1" applyFill="1" applyBorder="1"/>
    <xf numFmtId="165" fontId="11" fillId="5" borderId="2" xfId="0" applyNumberFormat="1" applyFont="1" applyFill="1" applyBorder="1"/>
    <xf numFmtId="164" fontId="11" fillId="5" borderId="2" xfId="0" applyNumberFormat="1" applyFont="1" applyFill="1" applyBorder="1"/>
    <xf numFmtId="0" fontId="12" fillId="3" borderId="0" xfId="0" applyFont="1" applyFill="1" applyAlignment="1">
      <alignment horizontal="center" vertical="center" wrapText="1"/>
    </xf>
    <xf numFmtId="0" fontId="12" fillId="4" borderId="0" xfId="0" applyFont="1" applyFill="1" applyAlignment="1">
      <alignment horizontal="center" vertical="center" wrapText="1"/>
    </xf>
    <xf numFmtId="0" fontId="12" fillId="6" borderId="0" xfId="0" applyFont="1" applyFill="1" applyAlignment="1">
      <alignment horizontal="center" vertical="center" wrapText="1"/>
    </xf>
    <xf numFmtId="0" fontId="13" fillId="0" borderId="1" xfId="0" applyFont="1" applyBorder="1" applyAlignment="1">
      <alignment horizontal="center" vertical="center"/>
    </xf>
    <xf numFmtId="0" fontId="13" fillId="0" borderId="1" xfId="0" applyFont="1" applyBorder="1"/>
    <xf numFmtId="165" fontId="13" fillId="0" borderId="1" xfId="0" applyNumberFormat="1" applyFont="1" applyBorder="1"/>
    <xf numFmtId="164" fontId="13" fillId="0" borderId="1" xfId="0" applyNumberFormat="1" applyFont="1" applyBorder="1" applyAlignment="1">
      <alignment horizontal="center" vertical="center"/>
    </xf>
    <xf numFmtId="0" fontId="14" fillId="7" borderId="1" xfId="0" applyFont="1" applyFill="1" applyBorder="1"/>
    <xf numFmtId="165" fontId="14" fillId="7" borderId="1" xfId="0" applyNumberFormat="1" applyFont="1" applyFill="1" applyBorder="1"/>
    <xf numFmtId="0" fontId="15" fillId="8" borderId="1" xfId="0" applyFont="1" applyFill="1" applyBorder="1"/>
    <xf numFmtId="165" fontId="15" fillId="8" borderId="1" xfId="0" applyNumberFormat="1" applyFont="1" applyFill="1" applyBorder="1"/>
    <xf numFmtId="0" fontId="16" fillId="0" borderId="1" xfId="0" applyFont="1" applyBorder="1"/>
    <xf numFmtId="165" fontId="16" fillId="0" borderId="1" xfId="0" applyNumberFormat="1" applyFont="1" applyBorder="1"/>
    <xf numFmtId="164" fontId="16" fillId="0" borderId="1" xfId="0" applyNumberFormat="1" applyFont="1" applyBorder="1"/>
    <xf numFmtId="0" fontId="11" fillId="9" borderId="0" xfId="0" applyFont="1" applyFill="1"/>
    <xf numFmtId="0" fontId="17" fillId="0" borderId="1" xfId="0" applyFont="1" applyBorder="1"/>
    <xf numFmtId="0" fontId="18"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0"/>
  <sheetViews>
    <sheetView workbookViewId="0"/>
  </sheetViews>
  <sheetFormatPr defaultRowHeight="15" outlineLevelRow="0" outlineLevelCol="0" x14ac:dyDescent="55"/>
  <cols>
    <col min="1" max="1" width="5" customWidth="1"/>
    <col min="2" max="2" width="32" customWidth="1"/>
    <col min="3" max="3" width="45" customWidth="1"/>
    <col min="4" max="4" width="50" customWidth="1"/>
    <col min="5" max="5" width="5" customWidth="1"/>
  </cols>
  <sheetData>
    <row r="2" ht="36" customHeight="1" spans="2:4" x14ac:dyDescent="0.25">
      <c r="B2" s="1" t="s">
        <v>0</v>
      </c>
      <c r="C2" s="1"/>
      <c r="D2" s="1"/>
    </row>
    <row r="3" ht="20" customHeight="1" spans="2:4" x14ac:dyDescent="0.25">
      <c r="B3" s="2" t="s">
        <v>1</v>
      </c>
      <c r="C3" s="2"/>
      <c r="D3" s="2"/>
    </row>
    <row r="5" ht="24" customHeight="1" spans="2:4" x14ac:dyDescent="0.25">
      <c r="B5" s="3" t="s">
        <v>2</v>
      </c>
      <c r="C5" s="4" t="s">
        <v>3</v>
      </c>
      <c r="D5" s="3" t="s">
        <v>4</v>
      </c>
    </row>
    <row r="6" ht="24" customHeight="1" spans="2:4" x14ac:dyDescent="0.25">
      <c r="B6" s="5" t="s">
        <v>5</v>
      </c>
      <c r="C6" s="6" t="s">
        <v>6</v>
      </c>
      <c r="D6" s="7" t="s">
        <v>7</v>
      </c>
    </row>
    <row r="7" ht="24" customHeight="1" spans="2:4" x14ac:dyDescent="0.25">
      <c r="B7" s="5" t="s">
        <v>8</v>
      </c>
      <c r="C7" s="6" t="s">
        <v>9</v>
      </c>
      <c r="D7" s="7" t="s">
        <v>10</v>
      </c>
    </row>
    <row r="8" ht="24" customHeight="1" spans="2:4" x14ac:dyDescent="0.25">
      <c r="B8" s="5" t="s">
        <v>11</v>
      </c>
      <c r="C8" s="6" t="s">
        <v>12</v>
      </c>
      <c r="D8" s="7" t="s">
        <v>13</v>
      </c>
    </row>
    <row r="9" ht="24" customHeight="1" spans="2:4" x14ac:dyDescent="0.25">
      <c r="B9" s="5" t="s">
        <v>14</v>
      </c>
      <c r="C9" s="6">
        <v>2027</v>
      </c>
      <c r="D9" s="7" t="s">
        <v>15</v>
      </c>
    </row>
    <row r="10" ht="24" customHeight="1" spans="2:4" x14ac:dyDescent="0.25">
      <c r="B10" s="5" t="s">
        <v>16</v>
      </c>
      <c r="C10" s="6" t="s">
        <v>17</v>
      </c>
      <c r="D10" s="7" t="s">
        <v>18</v>
      </c>
    </row>
    <row r="11" ht="24" customHeight="1" spans="2:4" x14ac:dyDescent="0.25">
      <c r="B11" s="5" t="s">
        <v>19</v>
      </c>
      <c r="C11" s="8">
        <v>0.01</v>
      </c>
      <c r="D11" s="7" t="s">
        <v>20</v>
      </c>
    </row>
    <row r="12" ht="24" customHeight="1" spans="2:4" x14ac:dyDescent="0.25">
      <c r="B12" s="5" t="s">
        <v>21</v>
      </c>
      <c r="C12" s="6" t="s">
        <v>22</v>
      </c>
      <c r="D12" s="7" t="s">
        <v>23</v>
      </c>
    </row>
    <row r="13" ht="24" customHeight="1" spans="2:4" x14ac:dyDescent="0.25">
      <c r="B13" s="5" t="s">
        <v>24</v>
      </c>
      <c r="C13" s="6" t="s">
        <v>25</v>
      </c>
      <c r="D13" s="7" t="s">
        <v>26</v>
      </c>
    </row>
    <row r="16" ht="26" customHeight="1" spans="2:4" x14ac:dyDescent="0.25">
      <c r="B16" s="9" t="s">
        <v>27</v>
      </c>
      <c r="C16" s="9"/>
      <c r="D16" s="9"/>
    </row>
    <row r="17" ht="36" customHeight="1" spans="2:4" x14ac:dyDescent="0.25">
      <c r="B17" s="10" t="s">
        <v>28</v>
      </c>
      <c r="C17" s="10"/>
      <c r="D17" s="10"/>
    </row>
    <row r="18" ht="36" customHeight="1" spans="2:4" x14ac:dyDescent="0.25">
      <c r="B18" s="10" t="s">
        <v>29</v>
      </c>
      <c r="C18" s="10"/>
      <c r="D18" s="10"/>
    </row>
    <row r="19" ht="36" customHeight="1" spans="2:4" x14ac:dyDescent="0.25">
      <c r="B19" s="10" t="s">
        <v>30</v>
      </c>
      <c r="C19" s="10"/>
      <c r="D19" s="10"/>
    </row>
    <row r="20" ht="36" customHeight="1" spans="2:4" x14ac:dyDescent="0.25">
      <c r="B20" s="10" t="s">
        <v>31</v>
      </c>
      <c r="C20" s="10"/>
      <c r="D20" s="10"/>
    </row>
  </sheetData>
  <mergeCells count="7">
    <mergeCell ref="B2:D2"/>
    <mergeCell ref="B3:D3"/>
    <mergeCell ref="B16:D16"/>
    <mergeCell ref="B17:D17"/>
    <mergeCell ref="B18:D18"/>
    <mergeCell ref="B19:D19"/>
    <mergeCell ref="B20:D2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Views>
    <sheetView workbookViewId="0">
      <pane xSplit="3" ySplit="3" topLeftCell="D4" activePane="bottomRight" state="frozen"/>
      <selection pane="bottomRight"/>
    </sheetView>
  </sheetViews>
  <sheetFormatPr defaultRowHeight="15" outlineLevelRow="0" outlineLevelCol="0" x14ac:dyDescent="55"/>
  <cols>
    <col min="1" max="1" width="6" customWidth="1"/>
    <col min="2" max="2" width="14" customWidth="1"/>
    <col min="3" max="3" width="28" customWidth="1"/>
    <col min="4" max="4" width="18" customWidth="1"/>
    <col min="5" max="7" width="12" customWidth="1"/>
    <col min="8" max="10" width="16" customWidth="1"/>
    <col min="11" max="13" width="18" customWidth="1"/>
    <col min="14" max="14" width="14" customWidth="1"/>
    <col min="15" max="15" width="15" customWidth="1"/>
    <col min="16" max="16" width="35" customWidth="1"/>
  </cols>
  <sheetData>
    <row r="1" ht="30" customHeight="1" spans="1:16" x14ac:dyDescent="0.25">
      <c r="A1" s="11" t="s">
        <v>32</v>
      </c>
      <c r="B1" s="11"/>
      <c r="C1" s="11"/>
      <c r="D1" s="11"/>
      <c r="E1" s="11"/>
      <c r="F1" s="11"/>
      <c r="G1" s="11"/>
      <c r="H1" s="11"/>
      <c r="I1" s="11"/>
      <c r="J1" s="11"/>
      <c r="K1" s="11"/>
      <c r="L1" s="11"/>
      <c r="M1" s="11"/>
      <c r="N1" s="11"/>
      <c r="O1" s="11"/>
      <c r="P1" s="11"/>
    </row>
    <row r="2" ht="18" customHeight="1" spans="1:16" x14ac:dyDescent="0.25">
      <c r="A2" s="12" t="s">
        <v>33</v>
      </c>
      <c r="B2" s="12"/>
      <c r="C2" s="12"/>
      <c r="D2" s="12"/>
      <c r="E2" s="12"/>
      <c r="F2" s="12"/>
      <c r="G2" s="12"/>
      <c r="H2" s="12"/>
      <c r="I2" s="12"/>
      <c r="J2" s="12"/>
      <c r="K2" s="12"/>
      <c r="L2" s="12"/>
      <c r="M2" s="12"/>
      <c r="N2" s="12"/>
      <c r="O2" s="12"/>
      <c r="P2" s="12"/>
    </row>
    <row r="3" ht="32" customHeight="1" spans="1:16" x14ac:dyDescent="0.25">
      <c r="A3" s="13" t="s">
        <v>34</v>
      </c>
      <c r="B3" s="13" t="s">
        <v>35</v>
      </c>
      <c r="C3" s="13" t="s">
        <v>36</v>
      </c>
      <c r="D3" s="13" t="s">
        <v>37</v>
      </c>
      <c r="E3" s="13" t="s">
        <v>38</v>
      </c>
      <c r="F3" s="13" t="s">
        <v>39</v>
      </c>
      <c r="G3" s="13" t="s">
        <v>40</v>
      </c>
      <c r="H3" s="13" t="s">
        <v>41</v>
      </c>
      <c r="I3" s="13" t="s">
        <v>42</v>
      </c>
      <c r="J3" s="13" t="s">
        <v>43</v>
      </c>
      <c r="K3" s="13" t="s">
        <v>44</v>
      </c>
      <c r="L3" s="13" t="s">
        <v>45</v>
      </c>
      <c r="M3" s="13" t="s">
        <v>46</v>
      </c>
      <c r="N3" s="13" t="s">
        <v>47</v>
      </c>
      <c r="O3" s="13" t="s">
        <v>48</v>
      </c>
      <c r="P3" s="13" t="s">
        <v>49</v>
      </c>
    </row>
    <row r="4" ht="22" customHeight="1" spans="1:16" x14ac:dyDescent="0.25">
      <c r="A4" s="14">
        <v>1</v>
      </c>
      <c r="B4" s="14" t="s">
        <v>50</v>
      </c>
      <c r="C4" s="15" t="s">
        <v>51</v>
      </c>
      <c r="D4" s="14" t="s">
        <v>52</v>
      </c>
      <c r="E4" s="14">
        <v>4</v>
      </c>
      <c r="F4" s="14">
        <v>10</v>
      </c>
      <c r="G4" s="14">
        <f>E4*F4</f>
      </c>
      <c r="H4" s="16">
        <v>74900000</v>
      </c>
      <c r="I4" s="16">
        <v>67000000</v>
      </c>
      <c r="J4" s="16">
        <v>25000000</v>
      </c>
      <c r="K4" s="16">
        <f>G4*H4</f>
      </c>
      <c r="L4" s="16">
        <f>G4*I4</f>
      </c>
      <c r="M4" s="16">
        <f>K4-L4</f>
      </c>
      <c r="N4" s="17">
        <f>IF(K4&gt;0, M4/K4, 0)</f>
      </c>
      <c r="O4" s="18">
        <f>IF((H4-I4)&gt;0, ROUNDUP(J4/(H4-I4), 0), F4)</f>
      </c>
      <c r="P4" s="15" t="s">
        <v>53</v>
      </c>
    </row>
    <row r="5" ht="22" customHeight="1" spans="1:16" x14ac:dyDescent="0.25">
      <c r="A5" s="14">
        <v>2</v>
      </c>
      <c r="B5" s="14" t="s">
        <v>54</v>
      </c>
      <c r="C5" s="15" t="s">
        <v>55</v>
      </c>
      <c r="D5" s="14" t="s">
        <v>52</v>
      </c>
      <c r="E5" s="14">
        <v>4</v>
      </c>
      <c r="F5" s="14">
        <v>10</v>
      </c>
      <c r="G5" s="14">
        <f>E5*F5</f>
      </c>
      <c r="H5" s="16">
        <v>104900000</v>
      </c>
      <c r="I5" s="16">
        <v>89372535</v>
      </c>
      <c r="J5" s="16">
        <v>35000000</v>
      </c>
      <c r="K5" s="16">
        <f>G5*H5</f>
      </c>
      <c r="L5" s="16">
        <f>G5*I5</f>
      </c>
      <c r="M5" s="16">
        <f>K5-L5</f>
      </c>
      <c r="N5" s="17">
        <f>IF(K5&gt;0, M5/K5, 0)</f>
      </c>
      <c r="O5" s="18">
        <f>IF((H5-I5)&gt;0, ROUNDUP(J5/(H5-I5), 0), F5)</f>
      </c>
      <c r="P5" s="15" t="s">
        <v>56</v>
      </c>
    </row>
    <row r="6" ht="22" customHeight="1" spans="1:16" x14ac:dyDescent="0.25">
      <c r="A6" s="14">
        <v>3</v>
      </c>
      <c r="B6" s="14" t="s">
        <v>57</v>
      </c>
      <c r="C6" s="15" t="s">
        <v>58</v>
      </c>
      <c r="D6" s="14" t="s">
        <v>52</v>
      </c>
      <c r="E6" s="14">
        <v>4</v>
      </c>
      <c r="F6" s="14">
        <v>10</v>
      </c>
      <c r="G6" s="14">
        <f>E6*F6</f>
      </c>
      <c r="H6" s="16">
        <v>109000000</v>
      </c>
      <c r="I6" s="16">
        <v>90175564</v>
      </c>
      <c r="J6" s="16">
        <v>35000000</v>
      </c>
      <c r="K6" s="16">
        <f>G6*H6</f>
      </c>
      <c r="L6" s="16">
        <f>G6*I6</f>
      </c>
      <c r="M6" s="16">
        <f>K6-L6</f>
      </c>
      <c r="N6" s="17">
        <f>IF(K6&gt;0, M6/K6, 0)</f>
      </c>
      <c r="O6" s="18">
        <f>IF((H6-I6)&gt;0, ROUNDUP(J6/(H6-I6), 0), F6)</f>
      </c>
      <c r="P6" s="15" t="s">
        <v>59</v>
      </c>
    </row>
    <row r="7" ht="22" customHeight="1" spans="1:16" x14ac:dyDescent="0.25">
      <c r="A7" s="14">
        <v>4</v>
      </c>
      <c r="B7" s="14" t="s">
        <v>60</v>
      </c>
      <c r="C7" s="15" t="s">
        <v>61</v>
      </c>
      <c r="D7" s="14" t="s">
        <v>62</v>
      </c>
      <c r="E7" s="14">
        <v>3</v>
      </c>
      <c r="F7" s="14">
        <v>10</v>
      </c>
      <c r="G7" s="14">
        <f>E7*F7</f>
      </c>
      <c r="H7" s="16">
        <v>165000000</v>
      </c>
      <c r="I7" s="16">
        <v>140000000</v>
      </c>
      <c r="J7" s="16">
        <v>50000000</v>
      </c>
      <c r="K7" s="16">
        <f>G7*H7</f>
      </c>
      <c r="L7" s="16">
        <f>G7*I7</f>
      </c>
      <c r="M7" s="16">
        <f>K7-L7</f>
      </c>
      <c r="N7" s="17">
        <f>IF(K7&gt;0, M7/K7, 0)</f>
      </c>
      <c r="O7" s="18">
        <f>IF((H7-I7)&gt;0, ROUNDUP(J7/(H7-I7), 0), F7)</f>
      </c>
      <c r="P7" s="15" t="s">
        <v>63</v>
      </c>
    </row>
    <row r="8" ht="22" customHeight="1" spans="1:16" x14ac:dyDescent="0.25">
      <c r="A8" s="14">
        <v>5</v>
      </c>
      <c r="B8" s="14" t="s">
        <v>64</v>
      </c>
      <c r="C8" s="15" t="s">
        <v>65</v>
      </c>
      <c r="D8" s="14" t="s">
        <v>62</v>
      </c>
      <c r="E8" s="14">
        <v>0</v>
      </c>
      <c r="F8" s="14">
        <v>10</v>
      </c>
      <c r="G8" s="14">
        <f>E8*F8</f>
      </c>
      <c r="H8" s="16">
        <v>85000000</v>
      </c>
      <c r="I8" s="16">
        <v>72000000</v>
      </c>
      <c r="J8" s="16">
        <v>20000000</v>
      </c>
      <c r="K8" s="16">
        <f>G8*H8</f>
      </c>
      <c r="L8" s="16">
        <f>G8*I8</f>
      </c>
      <c r="M8" s="16">
        <f>K8-L8</f>
      </c>
      <c r="N8" s="17">
        <f>IF(K8&gt;0, M8/K8, 0)</f>
      </c>
      <c r="O8" s="18">
        <f>IF((H8-I8)&gt;0, ROUNDUP(J8/(H8-I8), 0), F8)</f>
      </c>
      <c r="P8" s="15" t="s">
        <v>66</v>
      </c>
    </row>
    <row r="9" ht="22" customHeight="1" spans="1:16" x14ac:dyDescent="0.25">
      <c r="A9" s="14">
        <v>6</v>
      </c>
      <c r="B9" s="14" t="s">
        <v>67</v>
      </c>
      <c r="C9" s="15" t="s">
        <v>68</v>
      </c>
      <c r="D9" s="14" t="s">
        <v>52</v>
      </c>
      <c r="E9" s="14">
        <v>6</v>
      </c>
      <c r="F9" s="14">
        <v>10</v>
      </c>
      <c r="G9" s="14">
        <f>E9*F9</f>
      </c>
      <c r="H9" s="16">
        <v>78900000</v>
      </c>
      <c r="I9" s="16">
        <v>68900000</v>
      </c>
      <c r="J9" s="16">
        <v>25000000</v>
      </c>
      <c r="K9" s="16">
        <f>G9*H9</f>
      </c>
      <c r="L9" s="16">
        <f>G9*I9</f>
      </c>
      <c r="M9" s="16">
        <f>K9-L9</f>
      </c>
      <c r="N9" s="17">
        <f>IF(K9&gt;0, M9/K9, 0)</f>
      </c>
      <c r="O9" s="18">
        <f>IF((H9-I9)&gt;0, ROUNDUP(J9/(H9-I9), 0), F9)</f>
      </c>
      <c r="P9" s="15" t="s">
        <v>69</v>
      </c>
    </row>
    <row r="10" ht="22" customHeight="1" spans="1:16" x14ac:dyDescent="0.25">
      <c r="A10" s="14">
        <v>7</v>
      </c>
      <c r="B10" s="14" t="s">
        <v>70</v>
      </c>
      <c r="C10" s="15" t="s">
        <v>71</v>
      </c>
      <c r="D10" s="14" t="s">
        <v>62</v>
      </c>
      <c r="E10" s="14">
        <v>4</v>
      </c>
      <c r="F10" s="14">
        <v>10</v>
      </c>
      <c r="G10" s="14">
        <f>E10*F10</f>
      </c>
      <c r="H10" s="16">
        <v>80000000</v>
      </c>
      <c r="I10" s="16">
        <v>72000000</v>
      </c>
      <c r="J10" s="16">
        <v>25000000</v>
      </c>
      <c r="K10" s="16">
        <f>G10*H10</f>
      </c>
      <c r="L10" s="16">
        <f>G10*I10</f>
      </c>
      <c r="M10" s="16">
        <f>K10-L10</f>
      </c>
      <c r="N10" s="17">
        <f>IF(K10&gt;0, M10/K10, 0)</f>
      </c>
      <c r="O10" s="18">
        <f>IF((H10-I10)&gt;0, ROUNDUP(J10/(H10-I10), 0), F10)</f>
      </c>
      <c r="P10" s="15" t="s">
        <v>72</v>
      </c>
    </row>
    <row r="11" ht="22" customHeight="1" spans="1:16" x14ac:dyDescent="0.25">
      <c r="A11" s="14">
        <v>8</v>
      </c>
      <c r="B11" s="14" t="s">
        <v>73</v>
      </c>
      <c r="C11" s="15" t="s">
        <v>74</v>
      </c>
      <c r="D11" s="14" t="s">
        <v>75</v>
      </c>
      <c r="E11" s="14">
        <v>2</v>
      </c>
      <c r="F11" s="14">
        <v>10</v>
      </c>
      <c r="G11" s="14">
        <f>E11*F11</f>
      </c>
      <c r="H11" s="16">
        <v>215000000</v>
      </c>
      <c r="I11" s="16">
        <v>185000000</v>
      </c>
      <c r="J11" s="16">
        <v>60000000</v>
      </c>
      <c r="K11" s="16">
        <f>G11*H11</f>
      </c>
      <c r="L11" s="16">
        <f>G11*I11</f>
      </c>
      <c r="M11" s="16">
        <f>K11-L11</f>
      </c>
      <c r="N11" s="17">
        <f>IF(K11&gt;0, M11/K11, 0)</f>
      </c>
      <c r="O11" s="18">
        <f>IF((H11-I11)&gt;0, ROUNDUP(J11/(H11-I11), 0), F11)</f>
      </c>
      <c r="P11" s="15" t="s">
        <v>76</v>
      </c>
    </row>
    <row r="12" ht="22" customHeight="1" spans="1:16" x14ac:dyDescent="0.25">
      <c r="A12" s="14">
        <v>9</v>
      </c>
      <c r="B12" s="14" t="s">
        <v>77</v>
      </c>
      <c r="C12" s="15" t="s">
        <v>78</v>
      </c>
      <c r="D12" s="14" t="s">
        <v>75</v>
      </c>
      <c r="E12" s="14">
        <v>1</v>
      </c>
      <c r="F12" s="14">
        <v>10</v>
      </c>
      <c r="G12" s="14">
        <f>E12*F12</f>
      </c>
      <c r="H12" s="16">
        <v>330900000</v>
      </c>
      <c r="I12" s="16">
        <v>270000000</v>
      </c>
      <c r="J12" s="16">
        <v>80000000</v>
      </c>
      <c r="K12" s="16">
        <f>G12*H12</f>
      </c>
      <c r="L12" s="16">
        <f>G12*I12</f>
      </c>
      <c r="M12" s="16">
        <f>K12-L12</f>
      </c>
      <c r="N12" s="17">
        <f>IF(K12&gt;0, M12/K12, 0)</f>
      </c>
      <c r="O12" s="18">
        <f>IF((H12-I12)&gt;0, ROUNDUP(J12/(H12-I12), 0), F12)</f>
      </c>
      <c r="P12" s="15" t="s">
        <v>79</v>
      </c>
    </row>
    <row r="13" ht="22" customHeight="1" spans="1:16" x14ac:dyDescent="0.25">
      <c r="A13" s="14">
        <v>10</v>
      </c>
      <c r="B13" s="14" t="s">
        <v>80</v>
      </c>
      <c r="C13" s="15" t="s">
        <v>81</v>
      </c>
      <c r="D13" s="14" t="s">
        <v>75</v>
      </c>
      <c r="E13" s="14">
        <v>1</v>
      </c>
      <c r="F13" s="14">
        <v>10</v>
      </c>
      <c r="G13" s="14">
        <f>E13*F13</f>
      </c>
      <c r="H13" s="16">
        <v>180000000</v>
      </c>
      <c r="I13" s="16">
        <v>150000000</v>
      </c>
      <c r="J13" s="16">
        <v>50000000</v>
      </c>
      <c r="K13" s="16">
        <f>G13*H13</f>
      </c>
      <c r="L13" s="16">
        <f>G13*I13</f>
      </c>
      <c r="M13" s="16">
        <f>K13-L13</f>
      </c>
      <c r="N13" s="17">
        <f>IF(K13&gt;0, M13/K13, 0)</f>
      </c>
      <c r="O13" s="18">
        <f>IF((H13-I13)&gt;0, ROUNDUP(J13/(H13-I13), 0), F13)</f>
      </c>
      <c r="P13" s="15" t="s">
        <v>82</v>
      </c>
    </row>
    <row r="14" ht="22" customHeight="1" spans="1:16" x14ac:dyDescent="0.25">
      <c r="A14" s="14">
        <v>11</v>
      </c>
      <c r="B14" s="14" t="s">
        <v>83</v>
      </c>
      <c r="C14" s="15" t="s">
        <v>84</v>
      </c>
      <c r="D14" s="14" t="s">
        <v>85</v>
      </c>
      <c r="E14" s="14">
        <v>1</v>
      </c>
      <c r="F14" s="14">
        <v>10</v>
      </c>
      <c r="G14" s="14">
        <f>E14*F14</f>
      </c>
      <c r="H14" s="16">
        <v>98900000</v>
      </c>
      <c r="I14" s="16">
        <v>87700000</v>
      </c>
      <c r="J14" s="16">
        <v>30000000</v>
      </c>
      <c r="K14" s="16">
        <f>G14*H14</f>
      </c>
      <c r="L14" s="16">
        <f>G14*I14</f>
      </c>
      <c r="M14" s="16">
        <f>K14-L14</f>
      </c>
      <c r="N14" s="17">
        <f>IF(K14&gt;0, M14/K14, 0)</f>
      </c>
      <c r="O14" s="18">
        <f>IF((H14-I14)&gt;0, ROUNDUP(J14/(H14-I14), 0), F14)</f>
      </c>
      <c r="P14" s="15" t="s">
        <v>86</v>
      </c>
    </row>
    <row r="15" ht="28" customHeight="1" spans="1:16" x14ac:dyDescent="0.25">
      <c r="A15" s="19" t="s">
        <v>87</v>
      </c>
      <c r="B15" s="19"/>
      <c r="C15" s="19" t="s">
        <v>88</v>
      </c>
      <c r="D15" s="19"/>
      <c r="E15" s="19">
        <f>SUM(E4:E14)</f>
      </c>
      <c r="F15" s="19"/>
      <c r="G15" s="19">
        <f>SUM(G4:G14)</f>
      </c>
      <c r="H15" s="19"/>
      <c r="I15" s="19"/>
      <c r="J15" s="19"/>
      <c r="K15" s="20">
        <f>SUM(K4:K14)</f>
      </c>
      <c r="L15" s="20">
        <f>SUM(L4:L14)</f>
      </c>
      <c r="M15" s="20">
        <f>SUM(M4:M14)</f>
      </c>
      <c r="N15" s="21">
        <f>IF(K15&gt;0, M15/K15, 0)</f>
      </c>
      <c r="O15" s="19"/>
      <c r="P15" s="19"/>
    </row>
  </sheetData>
  <mergeCells count="2">
    <mergeCell ref="A1:P1"/>
    <mergeCell ref="A2:P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3"/>
  <sheetViews>
    <sheetView workbookViewId="0">
      <pane xSplit="4" ySplit="3" topLeftCell="E4" activePane="bottomRight" state="frozen"/>
      <selection pane="bottomRight"/>
    </sheetView>
  </sheetViews>
  <sheetFormatPr defaultRowHeight="15" outlineLevelRow="0" outlineLevelCol="0" x14ac:dyDescent="55"/>
  <cols>
    <col min="1" max="1" width="5" customWidth="1"/>
    <col min="2" max="2" width="18" customWidth="1"/>
    <col min="3" max="3" width="14" customWidth="1"/>
    <col min="4" max="4" width="28" customWidth="1"/>
    <col min="5" max="6" width="14" customWidth="1"/>
    <col min="9" max="9" width="11" customWidth="1"/>
    <col min="10" max="10" width="16" customWidth="1"/>
    <col min="11" max="11" width="18" customWidth="1"/>
    <col min="12" max="12" width="10" customWidth="1"/>
    <col min="13" max="13" width="16" customWidth="1"/>
    <col min="14" max="14" width="11" customWidth="1"/>
    <col min="15" max="30" width="14" customWidth="1"/>
    <col min="31" max="35" width="16" customWidth="1"/>
  </cols>
  <sheetData>
    <row r="1" ht="30" customHeight="1" spans="1:35" x14ac:dyDescent="0.25">
      <c r="A1" s="11" t="s">
        <v>89</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20" customHeight="1" spans="1:35" x14ac:dyDescent="0.25">
      <c r="A2" s="22" t="s">
        <v>90</v>
      </c>
      <c r="B2"/>
      <c r="C2"/>
      <c r="D2"/>
      <c r="E2"/>
      <c r="F2"/>
      <c r="G2"/>
      <c r="H2"/>
      <c r="I2"/>
      <c r="J2"/>
      <c r="K2"/>
      <c r="L2"/>
      <c r="M2"/>
      <c r="N2"/>
      <c r="O2"/>
      <c r="P2" s="23" t="s">
        <v>91</v>
      </c>
      <c r="Q2"/>
      <c r="R2"/>
      <c r="S2"/>
      <c r="T2"/>
      <c r="U2"/>
      <c r="V2"/>
      <c r="W2"/>
      <c r="X2"/>
      <c r="Y2"/>
      <c r="Z2"/>
      <c r="AA2"/>
      <c r="AB2"/>
      <c r="AC2"/>
      <c r="AD2"/>
      <c r="AE2" s="24" t="s">
        <v>92</v>
      </c>
      <c r="AF2"/>
      <c r="AG2"/>
      <c r="AH2"/>
      <c r="AI2"/>
    </row>
    <row r="3" ht="32" customHeight="1" spans="1:35" x14ac:dyDescent="0.25">
      <c r="A3" s="13" t="s">
        <v>34</v>
      </c>
      <c r="B3" s="13" t="s">
        <v>93</v>
      </c>
      <c r="C3" s="13" t="s">
        <v>35</v>
      </c>
      <c r="D3" s="13" t="s">
        <v>94</v>
      </c>
      <c r="E3" s="13" t="s">
        <v>95</v>
      </c>
      <c r="F3" s="13" t="s">
        <v>96</v>
      </c>
      <c r="G3" s="13" t="s">
        <v>97</v>
      </c>
      <c r="H3" s="13" t="s">
        <v>98</v>
      </c>
      <c r="I3" s="13" t="s">
        <v>99</v>
      </c>
      <c r="J3" s="13" t="s">
        <v>100</v>
      </c>
      <c r="K3" s="13" t="s">
        <v>101</v>
      </c>
      <c r="L3" s="13" t="s">
        <v>102</v>
      </c>
      <c r="M3" s="13" t="s">
        <v>103</v>
      </c>
      <c r="N3" s="13" t="s">
        <v>104</v>
      </c>
      <c r="O3" s="13" t="s">
        <v>105</v>
      </c>
      <c r="P3" s="13" t="s">
        <v>106</v>
      </c>
      <c r="Q3" s="13" t="s">
        <v>107</v>
      </c>
      <c r="R3" s="13" t="s">
        <v>108</v>
      </c>
      <c r="S3" s="13" t="s">
        <v>109</v>
      </c>
      <c r="T3" s="13" t="s">
        <v>110</v>
      </c>
      <c r="U3" s="13" t="s">
        <v>111</v>
      </c>
      <c r="V3" s="13" t="s">
        <v>112</v>
      </c>
      <c r="W3" s="13" t="s">
        <v>113</v>
      </c>
      <c r="X3" s="13" t="s">
        <v>114</v>
      </c>
      <c r="Y3" s="13" t="s">
        <v>115</v>
      </c>
      <c r="Z3" s="13" t="s">
        <v>116</v>
      </c>
      <c r="AA3" s="13" t="s">
        <v>117</v>
      </c>
      <c r="AB3" s="13" t="s">
        <v>118</v>
      </c>
      <c r="AC3" s="13" t="s">
        <v>119</v>
      </c>
      <c r="AD3" s="13" t="s">
        <v>120</v>
      </c>
      <c r="AE3" s="13" t="s">
        <v>121</v>
      </c>
      <c r="AF3" s="13" t="s">
        <v>122</v>
      </c>
      <c r="AG3" s="13" t="s">
        <v>123</v>
      </c>
      <c r="AH3" s="13" t="s">
        <v>124</v>
      </c>
      <c r="AI3" s="13" t="s">
        <v>125</v>
      </c>
    </row>
    <row r="4" ht="20" customHeight="1" spans="1:35" x14ac:dyDescent="0.25">
      <c r="A4" s="25">
        <v>1</v>
      </c>
      <c r="B4" s="25" t="s">
        <v>126</v>
      </c>
      <c r="C4" s="25" t="s">
        <v>54</v>
      </c>
      <c r="D4" s="26" t="s">
        <v>127</v>
      </c>
      <c r="E4" s="25" t="s">
        <v>128</v>
      </c>
      <c r="F4" s="25" t="s">
        <v>129</v>
      </c>
      <c r="G4" s="25">
        <v>1</v>
      </c>
      <c r="H4" s="25">
        <v>10</v>
      </c>
      <c r="I4" s="25">
        <f>G4*H4</f>
      </c>
      <c r="J4" s="27">
        <f>IFERROR(VLOOKUP(C4, '2_PNL_SAN_PHAM'!$B$4:$H$25, 7, FALSE), 0)</f>
      </c>
      <c r="K4" s="27">
        <f>I4*J4</f>
      </c>
      <c r="L4" s="28">
        <f>'1_THIET_LAP_BU'!$C$11</f>
      </c>
      <c r="M4" s="27">
        <f>ROUND(K4*L4, 0)</f>
      </c>
      <c r="N4" s="25">
        <v>3</v>
      </c>
      <c r="O4" s="25" t="s">
        <v>130</v>
      </c>
      <c r="P4" s="27">
        <f>ROUND($M4/$N4, 0)</f>
      </c>
      <c r="Q4" s="27">
        <f>ROUND($M4/$N4, 0)</f>
      </c>
      <c r="R4" s="27">
        <f>ROUND($M4/$N4, 0)</f>
      </c>
      <c r="S4" s="27">
        <v>0</v>
      </c>
      <c r="T4" s="27">
        <v>0</v>
      </c>
      <c r="U4" s="27">
        <v>0</v>
      </c>
      <c r="V4" s="27">
        <v>0</v>
      </c>
      <c r="W4" s="27">
        <v>0</v>
      </c>
      <c r="X4" s="27">
        <v>0</v>
      </c>
      <c r="Y4" s="27">
        <v>0</v>
      </c>
      <c r="Z4" s="27">
        <v>0</v>
      </c>
      <c r="AA4" s="27">
        <v>0</v>
      </c>
      <c r="AB4" s="27">
        <v>0</v>
      </c>
      <c r="AC4" s="27">
        <v>0</v>
      </c>
      <c r="AD4" s="27">
        <v>0</v>
      </c>
      <c r="AE4" s="27">
        <f>SUM(R4:T4)</f>
      </c>
      <c r="AF4" s="27">
        <f>SUM(U4:W4)</f>
      </c>
      <c r="AG4" s="27">
        <f>SUM(X4:Z4)</f>
      </c>
      <c r="AH4" s="27">
        <f>SUM(AA4:AC4)</f>
      </c>
      <c r="AI4" s="27">
        <f>AD4</f>
      </c>
    </row>
    <row r="5" ht="20" customHeight="1" spans="1:35" x14ac:dyDescent="0.25">
      <c r="A5" s="25">
        <v>2</v>
      </c>
      <c r="B5" s="25" t="s">
        <v>126</v>
      </c>
      <c r="C5" s="25" t="s">
        <v>57</v>
      </c>
      <c r="D5" s="26" t="s">
        <v>131</v>
      </c>
      <c r="E5" s="25" t="s">
        <v>128</v>
      </c>
      <c r="F5" s="25" t="s">
        <v>129</v>
      </c>
      <c r="G5" s="25">
        <v>1</v>
      </c>
      <c r="H5" s="25">
        <v>10</v>
      </c>
      <c r="I5" s="25">
        <f>G5*H5</f>
      </c>
      <c r="J5" s="27">
        <f>IFERROR(VLOOKUP(C5, '2_PNL_SAN_PHAM'!$B$4:$H$25, 7, FALSE), 0)</f>
      </c>
      <c r="K5" s="27">
        <f>I5*J5</f>
      </c>
      <c r="L5" s="28">
        <f>'1_THIET_LAP_BU'!$C$11</f>
      </c>
      <c r="M5" s="27">
        <f>ROUND(K5*L5, 0)</f>
      </c>
      <c r="N5" s="25">
        <v>3</v>
      </c>
      <c r="O5" s="25" t="s">
        <v>130</v>
      </c>
      <c r="P5" s="27">
        <f>ROUND($M5/$N5, 0)</f>
      </c>
      <c r="Q5" s="27">
        <f>ROUND($M5/$N5, 0)</f>
      </c>
      <c r="R5" s="27">
        <f>ROUND($M5/$N5, 0)</f>
      </c>
      <c r="S5" s="27">
        <v>0</v>
      </c>
      <c r="T5" s="27">
        <v>0</v>
      </c>
      <c r="U5" s="27">
        <v>0</v>
      </c>
      <c r="V5" s="27">
        <v>0</v>
      </c>
      <c r="W5" s="27">
        <v>0</v>
      </c>
      <c r="X5" s="27">
        <v>0</v>
      </c>
      <c r="Y5" s="27">
        <v>0</v>
      </c>
      <c r="Z5" s="27">
        <v>0</v>
      </c>
      <c r="AA5" s="27">
        <v>0</v>
      </c>
      <c r="AB5" s="27">
        <v>0</v>
      </c>
      <c r="AC5" s="27">
        <v>0</v>
      </c>
      <c r="AD5" s="27">
        <v>0</v>
      </c>
      <c r="AE5" s="27">
        <f>SUM(R5:T5)</f>
      </c>
      <c r="AF5" s="27">
        <f>SUM(U5:W5)</f>
      </c>
      <c r="AG5" s="27">
        <f>SUM(X5:Z5)</f>
      </c>
      <c r="AH5" s="27">
        <f>SUM(AA5:AC5)</f>
      </c>
      <c r="AI5" s="27">
        <f>AD5</f>
      </c>
    </row>
    <row r="6" ht="20" customHeight="1" spans="1:35" x14ac:dyDescent="0.25">
      <c r="A6" s="25">
        <v>3</v>
      </c>
      <c r="B6" s="25" t="s">
        <v>126</v>
      </c>
      <c r="C6" s="25" t="s">
        <v>54</v>
      </c>
      <c r="D6" s="26" t="s">
        <v>132</v>
      </c>
      <c r="E6" s="25" t="s">
        <v>133</v>
      </c>
      <c r="F6" s="25" t="s">
        <v>134</v>
      </c>
      <c r="G6" s="25">
        <v>1</v>
      </c>
      <c r="H6" s="25">
        <v>10</v>
      </c>
      <c r="I6" s="25">
        <f>G6*H6</f>
      </c>
      <c r="J6" s="27">
        <f>IFERROR(VLOOKUP(C6, '2_PNL_SAN_PHAM'!$B$4:$H$25, 7, FALSE), 0)</f>
      </c>
      <c r="K6" s="27">
        <f>I6*J6</f>
      </c>
      <c r="L6" s="28">
        <f>'1_THIET_LAP_BU'!$C$11</f>
      </c>
      <c r="M6" s="27">
        <f>ROUND(K6*L6, 0)</f>
      </c>
      <c r="N6" s="25">
        <v>3</v>
      </c>
      <c r="O6" s="25" t="s">
        <v>130</v>
      </c>
      <c r="P6" s="27">
        <v>0</v>
      </c>
      <c r="Q6" s="27">
        <f>ROUND($M6/$N6, 0)</f>
      </c>
      <c r="R6" s="27">
        <f>ROUND($M6/$N6, 0)</f>
      </c>
      <c r="S6" s="27">
        <f>ROUND($M6/$N6, 0)</f>
      </c>
      <c r="T6" s="27">
        <v>0</v>
      </c>
      <c r="U6" s="27">
        <v>0</v>
      </c>
      <c r="V6" s="27">
        <v>0</v>
      </c>
      <c r="W6" s="27">
        <v>0</v>
      </c>
      <c r="X6" s="27">
        <v>0</v>
      </c>
      <c r="Y6" s="27">
        <v>0</v>
      </c>
      <c r="Z6" s="27">
        <v>0</v>
      </c>
      <c r="AA6" s="27">
        <v>0</v>
      </c>
      <c r="AB6" s="27">
        <v>0</v>
      </c>
      <c r="AC6" s="27">
        <v>0</v>
      </c>
      <c r="AD6" s="27">
        <v>0</v>
      </c>
      <c r="AE6" s="27">
        <f>SUM(R6:T6)</f>
      </c>
      <c r="AF6" s="27">
        <f>SUM(U6:W6)</f>
      </c>
      <c r="AG6" s="27">
        <f>SUM(X6:Z6)</f>
      </c>
      <c r="AH6" s="27">
        <f>SUM(AA6:AC6)</f>
      </c>
      <c r="AI6" s="27">
        <f>AD6</f>
      </c>
    </row>
    <row r="7" ht="20" customHeight="1" spans="1:35" x14ac:dyDescent="0.25">
      <c r="A7" s="25">
        <v>4</v>
      </c>
      <c r="B7" s="25" t="s">
        <v>126</v>
      </c>
      <c r="C7" s="25" t="s">
        <v>54</v>
      </c>
      <c r="D7" s="26" t="s">
        <v>135</v>
      </c>
      <c r="E7" s="25" t="s">
        <v>136</v>
      </c>
      <c r="F7" s="25" t="s">
        <v>137</v>
      </c>
      <c r="G7" s="25">
        <v>1</v>
      </c>
      <c r="H7" s="25">
        <v>10</v>
      </c>
      <c r="I7" s="25">
        <f>G7*H7</f>
      </c>
      <c r="J7" s="27">
        <f>IFERROR(VLOOKUP(C7, '2_PNL_SAN_PHAM'!$B$4:$H$25, 7, FALSE), 0)</f>
      </c>
      <c r="K7" s="27">
        <f>I7*J7</f>
      </c>
      <c r="L7" s="28">
        <f>'1_THIET_LAP_BU'!$C$11</f>
      </c>
      <c r="M7" s="27">
        <f>ROUND(K7*L7, 0)</f>
      </c>
      <c r="N7" s="25">
        <v>4</v>
      </c>
      <c r="O7" s="25" t="s">
        <v>138</v>
      </c>
      <c r="P7" s="27">
        <v>0</v>
      </c>
      <c r="Q7" s="27">
        <v>0</v>
      </c>
      <c r="R7" s="27">
        <f>ROUND($M7/$N7, 0)</f>
      </c>
      <c r="S7" s="27">
        <f>ROUND($M7/$N7, 0)</f>
      </c>
      <c r="T7" s="27">
        <f>ROUND($M7/$N7, 0)</f>
      </c>
      <c r="U7" s="27">
        <f>ROUND($M7/$N7, 0)</f>
      </c>
      <c r="V7" s="27">
        <v>0</v>
      </c>
      <c r="W7" s="27">
        <v>0</v>
      </c>
      <c r="X7" s="27">
        <v>0</v>
      </c>
      <c r="Y7" s="27">
        <v>0</v>
      </c>
      <c r="Z7" s="27">
        <v>0</v>
      </c>
      <c r="AA7" s="27">
        <v>0</v>
      </c>
      <c r="AB7" s="27">
        <v>0</v>
      </c>
      <c r="AC7" s="27">
        <v>0</v>
      </c>
      <c r="AD7" s="27">
        <v>0</v>
      </c>
      <c r="AE7" s="27">
        <f>SUM(R7:T7)</f>
      </c>
      <c r="AF7" s="27">
        <f>SUM(U7:W7)</f>
      </c>
      <c r="AG7" s="27">
        <f>SUM(X7:Z7)</f>
      </c>
      <c r="AH7" s="27">
        <f>SUM(AA7:AC7)</f>
      </c>
      <c r="AI7" s="27">
        <f>AD7</f>
      </c>
    </row>
    <row r="8" ht="20" customHeight="1" spans="1:35" x14ac:dyDescent="0.25">
      <c r="A8" s="25">
        <v>5</v>
      </c>
      <c r="B8" s="25" t="s">
        <v>126</v>
      </c>
      <c r="C8" s="25" t="s">
        <v>57</v>
      </c>
      <c r="D8" s="26" t="s">
        <v>139</v>
      </c>
      <c r="E8" s="25" t="s">
        <v>136</v>
      </c>
      <c r="F8" s="25" t="s">
        <v>137</v>
      </c>
      <c r="G8" s="25">
        <v>1</v>
      </c>
      <c r="H8" s="25">
        <v>10</v>
      </c>
      <c r="I8" s="25">
        <f>G8*H8</f>
      </c>
      <c r="J8" s="27">
        <f>IFERROR(VLOOKUP(C8, '2_PNL_SAN_PHAM'!$B$4:$H$25, 7, FALSE), 0)</f>
      </c>
      <c r="K8" s="27">
        <f>I8*J8</f>
      </c>
      <c r="L8" s="28">
        <f>'1_THIET_LAP_BU'!$C$11</f>
      </c>
      <c r="M8" s="27">
        <f>ROUND(K8*L8, 0)</f>
      </c>
      <c r="N8" s="25">
        <v>4</v>
      </c>
      <c r="O8" s="25" t="s">
        <v>138</v>
      </c>
      <c r="P8" s="27">
        <v>0</v>
      </c>
      <c r="Q8" s="27">
        <v>0</v>
      </c>
      <c r="R8" s="27">
        <f>ROUND($M8/$N8, 0)</f>
      </c>
      <c r="S8" s="27">
        <f>ROUND($M8/$N8, 0)</f>
      </c>
      <c r="T8" s="27">
        <f>ROUND($M8/$N8, 0)</f>
      </c>
      <c r="U8" s="27">
        <f>ROUND($M8/$N8, 0)</f>
      </c>
      <c r="V8" s="27">
        <v>0</v>
      </c>
      <c r="W8" s="27">
        <v>0</v>
      </c>
      <c r="X8" s="27">
        <v>0</v>
      </c>
      <c r="Y8" s="27">
        <v>0</v>
      </c>
      <c r="Z8" s="27">
        <v>0</v>
      </c>
      <c r="AA8" s="27">
        <v>0</v>
      </c>
      <c r="AB8" s="27">
        <v>0</v>
      </c>
      <c r="AC8" s="27">
        <v>0</v>
      </c>
      <c r="AD8" s="27">
        <v>0</v>
      </c>
      <c r="AE8" s="27">
        <f>SUM(R8:T8)</f>
      </c>
      <c r="AF8" s="27">
        <f>SUM(U8:W8)</f>
      </c>
      <c r="AG8" s="27">
        <f>SUM(X8:Z8)</f>
      </c>
      <c r="AH8" s="27">
        <f>SUM(AA8:AC8)</f>
      </c>
      <c r="AI8" s="27">
        <f>AD8</f>
      </c>
    </row>
    <row r="9" ht="20" customHeight="1" spans="1:35" x14ac:dyDescent="0.25">
      <c r="A9" s="25">
        <v>6</v>
      </c>
      <c r="B9" s="25" t="s">
        <v>126</v>
      </c>
      <c r="C9" s="25" t="s">
        <v>60</v>
      </c>
      <c r="D9" s="26" t="s">
        <v>140</v>
      </c>
      <c r="E9" s="25" t="s">
        <v>136</v>
      </c>
      <c r="F9" s="25" t="s">
        <v>137</v>
      </c>
      <c r="G9" s="25">
        <v>3</v>
      </c>
      <c r="H9" s="25">
        <v>10</v>
      </c>
      <c r="I9" s="25">
        <f>G9*H9</f>
      </c>
      <c r="J9" s="27">
        <f>IFERROR(VLOOKUP(C9, '2_PNL_SAN_PHAM'!$B$4:$H$25, 7, FALSE), 0)</f>
      </c>
      <c r="K9" s="27">
        <f>I9*J9</f>
      </c>
      <c r="L9" s="28">
        <f>'1_THIET_LAP_BU'!$C$11</f>
      </c>
      <c r="M9" s="27">
        <f>ROUND(K9*L9, 0)</f>
      </c>
      <c r="N9" s="25">
        <v>5</v>
      </c>
      <c r="O9" s="25" t="s">
        <v>141</v>
      </c>
      <c r="P9" s="27">
        <v>0</v>
      </c>
      <c r="Q9" s="27">
        <f>ROUND($M9/$N9, 0)</f>
      </c>
      <c r="R9" s="27">
        <f>ROUND($M9/$N9, 0)</f>
      </c>
      <c r="S9" s="27">
        <f>ROUND($M9/$N9, 0)</f>
      </c>
      <c r="T9" s="27">
        <f>ROUND($M9/$N9, 0)</f>
      </c>
      <c r="U9" s="27">
        <f>ROUND($M9/$N9, 0)</f>
      </c>
      <c r="V9" s="27">
        <v>0</v>
      </c>
      <c r="W9" s="27">
        <v>0</v>
      </c>
      <c r="X9" s="27">
        <v>0</v>
      </c>
      <c r="Y9" s="27">
        <v>0</v>
      </c>
      <c r="Z9" s="27">
        <v>0</v>
      </c>
      <c r="AA9" s="27">
        <v>0</v>
      </c>
      <c r="AB9" s="27">
        <v>0</v>
      </c>
      <c r="AC9" s="27">
        <v>0</v>
      </c>
      <c r="AD9" s="27">
        <v>0</v>
      </c>
      <c r="AE9" s="27">
        <f>SUM(R9:T9)</f>
      </c>
      <c r="AF9" s="27">
        <f>SUM(U9:W9)</f>
      </c>
      <c r="AG9" s="27">
        <f>SUM(X9:Z9)</f>
      </c>
      <c r="AH9" s="27">
        <f>SUM(AA9:AC9)</f>
      </c>
      <c r="AI9" s="27">
        <f>AD9</f>
      </c>
    </row>
    <row r="10" ht="20" customHeight="1" spans="1:35" x14ac:dyDescent="0.25">
      <c r="A10" s="25">
        <v>7</v>
      </c>
      <c r="B10" s="25" t="s">
        <v>126</v>
      </c>
      <c r="C10" s="25" t="s">
        <v>57</v>
      </c>
      <c r="D10" s="26" t="s">
        <v>142</v>
      </c>
      <c r="E10" s="25" t="s">
        <v>143</v>
      </c>
      <c r="F10" s="25" t="s">
        <v>144</v>
      </c>
      <c r="G10" s="25">
        <v>1</v>
      </c>
      <c r="H10" s="25">
        <v>10</v>
      </c>
      <c r="I10" s="25">
        <f>G10*H10</f>
      </c>
      <c r="J10" s="27">
        <f>IFERROR(VLOOKUP(C10, '2_PNL_SAN_PHAM'!$B$4:$H$25, 7, FALSE), 0)</f>
      </c>
      <c r="K10" s="27">
        <f>I10*J10</f>
      </c>
      <c r="L10" s="28">
        <f>'1_THIET_LAP_BU'!$C$11</f>
      </c>
      <c r="M10" s="27">
        <f>ROUND(K10*L10, 0)</f>
      </c>
      <c r="N10" s="25">
        <v>4</v>
      </c>
      <c r="O10" s="25" t="s">
        <v>138</v>
      </c>
      <c r="P10" s="27">
        <v>0</v>
      </c>
      <c r="Q10" s="27">
        <v>0</v>
      </c>
      <c r="R10" s="27">
        <v>0</v>
      </c>
      <c r="S10" s="27">
        <f>ROUND($M10/$N10, 0)</f>
      </c>
      <c r="T10" s="27">
        <f>ROUND($M10/$N10, 0)</f>
      </c>
      <c r="U10" s="27">
        <f>ROUND($M10/$N10, 0)</f>
      </c>
      <c r="V10" s="27">
        <f>ROUND($M10/$N10, 0)</f>
      </c>
      <c r="W10" s="27">
        <v>0</v>
      </c>
      <c r="X10" s="27">
        <v>0</v>
      </c>
      <c r="Y10" s="27">
        <v>0</v>
      </c>
      <c r="Z10" s="27">
        <v>0</v>
      </c>
      <c r="AA10" s="27">
        <v>0</v>
      </c>
      <c r="AB10" s="27">
        <v>0</v>
      </c>
      <c r="AC10" s="27">
        <v>0</v>
      </c>
      <c r="AD10" s="27">
        <v>0</v>
      </c>
      <c r="AE10" s="27">
        <f>SUM(R10:T10)</f>
      </c>
      <c r="AF10" s="27">
        <f>SUM(U10:W10)</f>
      </c>
      <c r="AG10" s="27">
        <f>SUM(X10:Z10)</f>
      </c>
      <c r="AH10" s="27">
        <f>SUM(AA10:AC10)</f>
      </c>
      <c r="AI10" s="27">
        <f>AD10</f>
      </c>
    </row>
    <row r="11" ht="20" customHeight="1" spans="1:35" x14ac:dyDescent="0.25">
      <c r="A11" s="25">
        <v>8</v>
      </c>
      <c r="B11" s="25" t="s">
        <v>126</v>
      </c>
      <c r="C11" s="25" t="s">
        <v>50</v>
      </c>
      <c r="D11" s="26" t="s">
        <v>145</v>
      </c>
      <c r="E11" s="25" t="s">
        <v>143</v>
      </c>
      <c r="F11" s="25" t="s">
        <v>144</v>
      </c>
      <c r="G11" s="25">
        <v>2</v>
      </c>
      <c r="H11" s="25">
        <v>10</v>
      </c>
      <c r="I11" s="25">
        <f>G11*H11</f>
      </c>
      <c r="J11" s="27">
        <f>IFERROR(VLOOKUP(C11, '2_PNL_SAN_PHAM'!$B$4:$H$25, 7, FALSE), 0)</f>
      </c>
      <c r="K11" s="27">
        <f>I11*J11</f>
      </c>
      <c r="L11" s="28">
        <f>'1_THIET_LAP_BU'!$C$11</f>
      </c>
      <c r="M11" s="27">
        <f>ROUND(K11*L11, 0)</f>
      </c>
      <c r="N11" s="25">
        <v>4</v>
      </c>
      <c r="O11" s="25" t="s">
        <v>138</v>
      </c>
      <c r="P11" s="27">
        <v>0</v>
      </c>
      <c r="Q11" s="27">
        <v>0</v>
      </c>
      <c r="R11" s="27">
        <v>0</v>
      </c>
      <c r="S11" s="27">
        <f>ROUND($M11/$N11, 0)</f>
      </c>
      <c r="T11" s="27">
        <f>ROUND($M11/$N11, 0)</f>
      </c>
      <c r="U11" s="27">
        <f>ROUND($M11/$N11, 0)</f>
      </c>
      <c r="V11" s="27">
        <f>ROUND($M11/$N11, 0)</f>
      </c>
      <c r="W11" s="27">
        <v>0</v>
      </c>
      <c r="X11" s="27">
        <v>0</v>
      </c>
      <c r="Y11" s="27">
        <v>0</v>
      </c>
      <c r="Z11" s="27">
        <v>0</v>
      </c>
      <c r="AA11" s="27">
        <v>0</v>
      </c>
      <c r="AB11" s="27">
        <v>0</v>
      </c>
      <c r="AC11" s="27">
        <v>0</v>
      </c>
      <c r="AD11" s="27">
        <v>0</v>
      </c>
      <c r="AE11" s="27">
        <f>SUM(R11:T11)</f>
      </c>
      <c r="AF11" s="27">
        <f>SUM(U11:W11)</f>
      </c>
      <c r="AG11" s="27">
        <f>SUM(X11:Z11)</f>
      </c>
      <c r="AH11" s="27">
        <f>SUM(AA11:AC11)</f>
      </c>
      <c r="AI11" s="27">
        <f>AD11</f>
      </c>
    </row>
    <row r="12" ht="20" customHeight="1" spans="1:35" x14ac:dyDescent="0.25">
      <c r="A12" s="25">
        <v>9</v>
      </c>
      <c r="B12" s="25" t="s">
        <v>126</v>
      </c>
      <c r="C12" s="25" t="s">
        <v>54</v>
      </c>
      <c r="D12" s="26" t="s">
        <v>146</v>
      </c>
      <c r="E12" s="25" t="s">
        <v>147</v>
      </c>
      <c r="F12" s="25" t="s">
        <v>148</v>
      </c>
      <c r="G12" s="25">
        <v>1</v>
      </c>
      <c r="H12" s="25">
        <v>10</v>
      </c>
      <c r="I12" s="25">
        <f>G12*H12</f>
      </c>
      <c r="J12" s="27">
        <f>IFERROR(VLOOKUP(C12, '2_PNL_SAN_PHAM'!$B$4:$H$25, 7, FALSE), 0)</f>
      </c>
      <c r="K12" s="27">
        <f>I12*J12</f>
      </c>
      <c r="L12" s="28">
        <f>'1_THIET_LAP_BU'!$C$11</f>
      </c>
      <c r="M12" s="27">
        <f>ROUND(K12*L12, 0)</f>
      </c>
      <c r="N12" s="25">
        <v>4</v>
      </c>
      <c r="O12" s="25" t="s">
        <v>138</v>
      </c>
      <c r="P12" s="27">
        <v>0</v>
      </c>
      <c r="Q12" s="27">
        <v>0</v>
      </c>
      <c r="R12" s="27">
        <v>0</v>
      </c>
      <c r="S12" s="27">
        <v>0</v>
      </c>
      <c r="T12" s="27">
        <f>ROUND($M12/$N12, 0)</f>
      </c>
      <c r="U12" s="27">
        <f>ROUND($M12/$N12, 0)</f>
      </c>
      <c r="V12" s="27">
        <f>ROUND($M12/$N12, 0)</f>
      </c>
      <c r="W12" s="27">
        <f>ROUND($M12/$N12, 0)</f>
      </c>
      <c r="X12" s="27">
        <v>0</v>
      </c>
      <c r="Y12" s="27">
        <v>0</v>
      </c>
      <c r="Z12" s="27">
        <v>0</v>
      </c>
      <c r="AA12" s="27">
        <v>0</v>
      </c>
      <c r="AB12" s="27">
        <v>0</v>
      </c>
      <c r="AC12" s="27">
        <v>0</v>
      </c>
      <c r="AD12" s="27">
        <v>0</v>
      </c>
      <c r="AE12" s="27">
        <f>SUM(R12:T12)</f>
      </c>
      <c r="AF12" s="27">
        <f>SUM(U12:W12)</f>
      </c>
      <c r="AG12" s="27">
        <f>SUM(X12:Z12)</f>
      </c>
      <c r="AH12" s="27">
        <f>SUM(AA12:AC12)</f>
      </c>
      <c r="AI12" s="27">
        <f>AD12</f>
      </c>
    </row>
    <row r="13" ht="20" customHeight="1" spans="1:35" x14ac:dyDescent="0.25">
      <c r="A13" s="25">
        <v>10</v>
      </c>
      <c r="B13" s="25" t="s">
        <v>126</v>
      </c>
      <c r="C13" s="25" t="s">
        <v>57</v>
      </c>
      <c r="D13" s="26" t="s">
        <v>149</v>
      </c>
      <c r="E13" s="25" t="s">
        <v>147</v>
      </c>
      <c r="F13" s="25" t="s">
        <v>148</v>
      </c>
      <c r="G13" s="25">
        <v>1</v>
      </c>
      <c r="H13" s="25">
        <v>10</v>
      </c>
      <c r="I13" s="25">
        <f>G13*H13</f>
      </c>
      <c r="J13" s="27">
        <f>IFERROR(VLOOKUP(C13, '2_PNL_SAN_PHAM'!$B$4:$H$25, 7, FALSE), 0)</f>
      </c>
      <c r="K13" s="27">
        <f>I13*J13</f>
      </c>
      <c r="L13" s="28">
        <f>'1_THIET_LAP_BU'!$C$11</f>
      </c>
      <c r="M13" s="27">
        <f>ROUND(K13*L13, 0)</f>
      </c>
      <c r="N13" s="25">
        <v>4</v>
      </c>
      <c r="O13" s="25" t="s">
        <v>138</v>
      </c>
      <c r="P13" s="27">
        <v>0</v>
      </c>
      <c r="Q13" s="27">
        <v>0</v>
      </c>
      <c r="R13" s="27">
        <v>0</v>
      </c>
      <c r="S13" s="27">
        <v>0</v>
      </c>
      <c r="T13" s="27">
        <f>ROUND($M13/$N13, 0)</f>
      </c>
      <c r="U13" s="27">
        <f>ROUND($M13/$N13, 0)</f>
      </c>
      <c r="V13" s="27">
        <f>ROUND($M13/$N13, 0)</f>
      </c>
      <c r="W13" s="27">
        <f>ROUND($M13/$N13, 0)</f>
      </c>
      <c r="X13" s="27">
        <v>0</v>
      </c>
      <c r="Y13" s="27">
        <v>0</v>
      </c>
      <c r="Z13" s="27">
        <v>0</v>
      </c>
      <c r="AA13" s="27">
        <v>0</v>
      </c>
      <c r="AB13" s="27">
        <v>0</v>
      </c>
      <c r="AC13" s="27">
        <v>0</v>
      </c>
      <c r="AD13" s="27">
        <v>0</v>
      </c>
      <c r="AE13" s="27">
        <f>SUM(R13:T13)</f>
      </c>
      <c r="AF13" s="27">
        <f>SUM(U13:W13)</f>
      </c>
      <c r="AG13" s="27">
        <f>SUM(X13:Z13)</f>
      </c>
      <c r="AH13" s="27">
        <f>SUM(AA13:AC13)</f>
      </c>
      <c r="AI13" s="27">
        <f>AD13</f>
      </c>
    </row>
    <row r="14" ht="20" customHeight="1" spans="1:35" x14ac:dyDescent="0.25">
      <c r="A14" s="25">
        <v>11</v>
      </c>
      <c r="B14" s="25" t="s">
        <v>126</v>
      </c>
      <c r="C14" s="25" t="s">
        <v>67</v>
      </c>
      <c r="D14" s="26" t="s">
        <v>150</v>
      </c>
      <c r="E14" s="25" t="s">
        <v>151</v>
      </c>
      <c r="F14" s="25" t="s">
        <v>152</v>
      </c>
      <c r="G14" s="25">
        <v>1</v>
      </c>
      <c r="H14" s="25">
        <v>10</v>
      </c>
      <c r="I14" s="25">
        <f>G14*H14</f>
      </c>
      <c r="J14" s="27">
        <f>IFERROR(VLOOKUP(C14, '2_PNL_SAN_PHAM'!$B$4:$H$25, 7, FALSE), 0)</f>
      </c>
      <c r="K14" s="27">
        <f>I14*J14</f>
      </c>
      <c r="L14" s="28">
        <f>'1_THIET_LAP_BU'!$C$11</f>
      </c>
      <c r="M14" s="27">
        <f>ROUND(K14*L14, 0)</f>
      </c>
      <c r="N14" s="25">
        <v>4</v>
      </c>
      <c r="O14" s="25" t="s">
        <v>138</v>
      </c>
      <c r="P14" s="27">
        <v>0</v>
      </c>
      <c r="Q14" s="27">
        <v>0</v>
      </c>
      <c r="R14" s="27">
        <v>0</v>
      </c>
      <c r="S14" s="27">
        <v>0</v>
      </c>
      <c r="T14" s="27">
        <v>0</v>
      </c>
      <c r="U14" s="27">
        <v>0</v>
      </c>
      <c r="V14" s="27">
        <f>ROUND($M14/$N14, 0)</f>
      </c>
      <c r="W14" s="27">
        <f>ROUND($M14/$N14, 0)</f>
      </c>
      <c r="X14" s="27">
        <f>ROUND($M14/$N14, 0)</f>
      </c>
      <c r="Y14" s="27">
        <f>ROUND($M14/$N14, 0)</f>
      </c>
      <c r="Z14" s="27">
        <v>0</v>
      </c>
      <c r="AA14" s="27">
        <v>0</v>
      </c>
      <c r="AB14" s="27">
        <v>0</v>
      </c>
      <c r="AC14" s="27">
        <v>0</v>
      </c>
      <c r="AD14" s="27">
        <v>0</v>
      </c>
      <c r="AE14" s="27">
        <f>SUM(R14:T14)</f>
      </c>
      <c r="AF14" s="27">
        <f>SUM(U14:W14)</f>
      </c>
      <c r="AG14" s="27">
        <f>SUM(X14:Z14)</f>
      </c>
      <c r="AH14" s="27">
        <f>SUM(AA14:AC14)</f>
      </c>
      <c r="AI14" s="27">
        <f>AD14</f>
      </c>
    </row>
    <row r="15" ht="20" customHeight="1" spans="1:35" x14ac:dyDescent="0.25">
      <c r="A15" s="25">
        <v>12</v>
      </c>
      <c r="B15" s="25" t="s">
        <v>126</v>
      </c>
      <c r="C15" s="25" t="s">
        <v>70</v>
      </c>
      <c r="D15" s="26" t="s">
        <v>153</v>
      </c>
      <c r="E15" s="25" t="s">
        <v>151</v>
      </c>
      <c r="F15" s="25" t="s">
        <v>152</v>
      </c>
      <c r="G15" s="25">
        <v>1</v>
      </c>
      <c r="H15" s="25">
        <v>10</v>
      </c>
      <c r="I15" s="25">
        <f>G15*H15</f>
      </c>
      <c r="J15" s="27">
        <f>IFERROR(VLOOKUP(C15, '2_PNL_SAN_PHAM'!$B$4:$H$25, 7, FALSE), 0)</f>
      </c>
      <c r="K15" s="27">
        <f>I15*J15</f>
      </c>
      <c r="L15" s="28">
        <f>'1_THIET_LAP_BU'!$C$11</f>
      </c>
      <c r="M15" s="27">
        <f>ROUND(K15*L15, 0)</f>
      </c>
      <c r="N15" s="25">
        <v>4</v>
      </c>
      <c r="O15" s="25" t="s">
        <v>138</v>
      </c>
      <c r="P15" s="27">
        <v>0</v>
      </c>
      <c r="Q15" s="27">
        <v>0</v>
      </c>
      <c r="R15" s="27">
        <v>0</v>
      </c>
      <c r="S15" s="27">
        <v>0</v>
      </c>
      <c r="T15" s="27">
        <v>0</v>
      </c>
      <c r="U15" s="27">
        <v>0</v>
      </c>
      <c r="V15" s="27">
        <f>ROUND($M15/$N15, 0)</f>
      </c>
      <c r="W15" s="27">
        <f>ROUND($M15/$N15, 0)</f>
      </c>
      <c r="X15" s="27">
        <f>ROUND($M15/$N15, 0)</f>
      </c>
      <c r="Y15" s="27">
        <f>ROUND($M15/$N15, 0)</f>
      </c>
      <c r="Z15" s="27">
        <v>0</v>
      </c>
      <c r="AA15" s="27">
        <v>0</v>
      </c>
      <c r="AB15" s="27">
        <v>0</v>
      </c>
      <c r="AC15" s="27">
        <v>0</v>
      </c>
      <c r="AD15" s="27">
        <v>0</v>
      </c>
      <c r="AE15" s="27">
        <f>SUM(R15:T15)</f>
      </c>
      <c r="AF15" s="27">
        <f>SUM(U15:W15)</f>
      </c>
      <c r="AG15" s="27">
        <f>SUM(X15:Z15)</f>
      </c>
      <c r="AH15" s="27">
        <f>SUM(AA15:AC15)</f>
      </c>
      <c r="AI15" s="27">
        <f>AD15</f>
      </c>
    </row>
    <row r="16" ht="20" customHeight="1" spans="1:35" x14ac:dyDescent="0.25">
      <c r="A16" s="25">
        <v>13</v>
      </c>
      <c r="B16" s="25" t="s">
        <v>126</v>
      </c>
      <c r="C16" s="25" t="s">
        <v>67</v>
      </c>
      <c r="D16" s="26" t="s">
        <v>154</v>
      </c>
      <c r="E16" s="25" t="s">
        <v>155</v>
      </c>
      <c r="F16" s="25" t="s">
        <v>156</v>
      </c>
      <c r="G16" s="25">
        <v>2</v>
      </c>
      <c r="H16" s="25">
        <v>10</v>
      </c>
      <c r="I16" s="25">
        <f>G16*H16</f>
      </c>
      <c r="J16" s="27">
        <f>IFERROR(VLOOKUP(C16, '2_PNL_SAN_PHAM'!$B$4:$H$25, 7, FALSE), 0)</f>
      </c>
      <c r="K16" s="27">
        <f>I16*J16</f>
      </c>
      <c r="L16" s="28">
        <f>'1_THIET_LAP_BU'!$C$11</f>
      </c>
      <c r="M16" s="27">
        <f>ROUND(K16*L16, 0)</f>
      </c>
      <c r="N16" s="25">
        <v>4</v>
      </c>
      <c r="O16" s="25" t="s">
        <v>138</v>
      </c>
      <c r="P16" s="27">
        <v>0</v>
      </c>
      <c r="Q16" s="27">
        <v>0</v>
      </c>
      <c r="R16" s="27">
        <v>0</v>
      </c>
      <c r="S16" s="27">
        <v>0</v>
      </c>
      <c r="T16" s="27">
        <v>0</v>
      </c>
      <c r="U16" s="27">
        <v>0</v>
      </c>
      <c r="V16" s="27">
        <v>0</v>
      </c>
      <c r="W16" s="27">
        <f>ROUND($M16/$N16, 0)</f>
      </c>
      <c r="X16" s="27">
        <f>ROUND($M16/$N16, 0)</f>
      </c>
      <c r="Y16" s="27">
        <f>ROUND($M16/$N16, 0)</f>
      </c>
      <c r="Z16" s="27">
        <f>ROUND($M16/$N16, 0)</f>
      </c>
      <c r="AA16" s="27">
        <v>0</v>
      </c>
      <c r="AB16" s="27">
        <v>0</v>
      </c>
      <c r="AC16" s="27">
        <v>0</v>
      </c>
      <c r="AD16" s="27">
        <v>0</v>
      </c>
      <c r="AE16" s="27">
        <f>SUM(R16:T16)</f>
      </c>
      <c r="AF16" s="27">
        <f>SUM(U16:W16)</f>
      </c>
      <c r="AG16" s="27">
        <f>SUM(X16:Z16)</f>
      </c>
      <c r="AH16" s="27">
        <f>SUM(AA16:AC16)</f>
      </c>
      <c r="AI16" s="27">
        <f>AD16</f>
      </c>
    </row>
    <row r="17" ht="20" customHeight="1" spans="1:35" x14ac:dyDescent="0.25">
      <c r="A17" s="25">
        <v>14</v>
      </c>
      <c r="B17" s="25" t="s">
        <v>126</v>
      </c>
      <c r="C17" s="25" t="s">
        <v>70</v>
      </c>
      <c r="D17" s="26" t="s">
        <v>157</v>
      </c>
      <c r="E17" s="25" t="s">
        <v>155</v>
      </c>
      <c r="F17" s="25" t="s">
        <v>156</v>
      </c>
      <c r="G17" s="25">
        <v>1</v>
      </c>
      <c r="H17" s="25">
        <v>10</v>
      </c>
      <c r="I17" s="25">
        <f>G17*H17</f>
      </c>
      <c r="J17" s="27">
        <f>IFERROR(VLOOKUP(C17, '2_PNL_SAN_PHAM'!$B$4:$H$25, 7, FALSE), 0)</f>
      </c>
      <c r="K17" s="27">
        <f>I17*J17</f>
      </c>
      <c r="L17" s="28">
        <f>'1_THIET_LAP_BU'!$C$11</f>
      </c>
      <c r="M17" s="27">
        <f>ROUND(K17*L17, 0)</f>
      </c>
      <c r="N17" s="25">
        <v>4</v>
      </c>
      <c r="O17" s="25" t="s">
        <v>138</v>
      </c>
      <c r="P17" s="27">
        <v>0</v>
      </c>
      <c r="Q17" s="27">
        <v>0</v>
      </c>
      <c r="R17" s="27">
        <v>0</v>
      </c>
      <c r="S17" s="27">
        <v>0</v>
      </c>
      <c r="T17" s="27">
        <v>0</v>
      </c>
      <c r="U17" s="27">
        <v>0</v>
      </c>
      <c r="V17" s="27">
        <v>0</v>
      </c>
      <c r="W17" s="27">
        <f>ROUND($M17/$N17, 0)</f>
      </c>
      <c r="X17" s="27">
        <f>ROUND($M17/$N17, 0)</f>
      </c>
      <c r="Y17" s="27">
        <f>ROUND($M17/$N17, 0)</f>
      </c>
      <c r="Z17" s="27">
        <f>ROUND($M17/$N17, 0)</f>
      </c>
      <c r="AA17" s="27">
        <v>0</v>
      </c>
      <c r="AB17" s="27">
        <v>0</v>
      </c>
      <c r="AC17" s="27">
        <v>0</v>
      </c>
      <c r="AD17" s="27">
        <v>0</v>
      </c>
      <c r="AE17" s="27">
        <f>SUM(R17:T17)</f>
      </c>
      <c r="AF17" s="27">
        <f>SUM(U17:W17)</f>
      </c>
      <c r="AG17" s="27">
        <f>SUM(X17:Z17)</f>
      </c>
      <c r="AH17" s="27">
        <f>SUM(AA17:AC17)</f>
      </c>
      <c r="AI17" s="27">
        <f>AD17</f>
      </c>
    </row>
    <row r="18" ht="20" customHeight="1" spans="1:35" x14ac:dyDescent="0.25">
      <c r="A18" s="25">
        <v>15</v>
      </c>
      <c r="B18" s="25" t="s">
        <v>126</v>
      </c>
      <c r="C18" s="25" t="s">
        <v>73</v>
      </c>
      <c r="D18" s="26" t="s">
        <v>158</v>
      </c>
      <c r="E18" s="25" t="s">
        <v>155</v>
      </c>
      <c r="F18" s="25" t="s">
        <v>156</v>
      </c>
      <c r="G18" s="25">
        <v>1</v>
      </c>
      <c r="H18" s="25">
        <v>10</v>
      </c>
      <c r="I18" s="25">
        <f>G18*H18</f>
      </c>
      <c r="J18" s="27">
        <f>IFERROR(VLOOKUP(C18, '2_PNL_SAN_PHAM'!$B$4:$H$25, 7, FALSE), 0)</f>
      </c>
      <c r="K18" s="27">
        <f>I18*J18</f>
      </c>
      <c r="L18" s="28">
        <f>'1_THIET_LAP_BU'!$C$11</f>
      </c>
      <c r="M18" s="27">
        <f>ROUND(K18*L18, 0)</f>
      </c>
      <c r="N18" s="25">
        <v>8</v>
      </c>
      <c r="O18" s="25" t="s">
        <v>159</v>
      </c>
      <c r="P18" s="27">
        <v>0</v>
      </c>
      <c r="Q18" s="27">
        <v>0</v>
      </c>
      <c r="R18" s="27">
        <v>0</v>
      </c>
      <c r="S18" s="27">
        <f>ROUND($M18/$N18, 0)</f>
      </c>
      <c r="T18" s="27">
        <f>ROUND($M18/$N18, 0)</f>
      </c>
      <c r="U18" s="27">
        <f>ROUND($M18/$N18, 0)</f>
      </c>
      <c r="V18" s="27">
        <f>ROUND($M18/$N18, 0)</f>
      </c>
      <c r="W18" s="27">
        <f>ROUND($M18/$N18, 0)</f>
      </c>
      <c r="X18" s="27">
        <f>ROUND($M18/$N18, 0)</f>
      </c>
      <c r="Y18" s="27">
        <f>ROUND($M18/$N18, 0)</f>
      </c>
      <c r="Z18" s="27">
        <f>ROUND($M18/$N18, 0)</f>
      </c>
      <c r="AA18" s="27">
        <v>0</v>
      </c>
      <c r="AB18" s="27">
        <v>0</v>
      </c>
      <c r="AC18" s="27">
        <v>0</v>
      </c>
      <c r="AD18" s="27">
        <v>0</v>
      </c>
      <c r="AE18" s="27">
        <f>SUM(R18:T18)</f>
      </c>
      <c r="AF18" s="27">
        <f>SUM(U18:W18)</f>
      </c>
      <c r="AG18" s="27">
        <f>SUM(X18:Z18)</f>
      </c>
      <c r="AH18" s="27">
        <f>SUM(AA18:AC18)</f>
      </c>
      <c r="AI18" s="27">
        <f>AD18</f>
      </c>
    </row>
    <row r="19" ht="20" customHeight="1" spans="1:35" x14ac:dyDescent="0.25">
      <c r="A19" s="25">
        <v>16</v>
      </c>
      <c r="B19" s="25" t="s">
        <v>126</v>
      </c>
      <c r="C19" s="25" t="s">
        <v>67</v>
      </c>
      <c r="D19" s="26" t="s">
        <v>160</v>
      </c>
      <c r="E19" s="25" t="s">
        <v>161</v>
      </c>
      <c r="F19" s="25" t="s">
        <v>162</v>
      </c>
      <c r="G19" s="25">
        <v>2</v>
      </c>
      <c r="H19" s="25">
        <v>10</v>
      </c>
      <c r="I19" s="25">
        <f>G19*H19</f>
      </c>
      <c r="J19" s="27">
        <f>IFERROR(VLOOKUP(C19, '2_PNL_SAN_PHAM'!$B$4:$H$25, 7, FALSE), 0)</f>
      </c>
      <c r="K19" s="27">
        <f>I19*J19</f>
      </c>
      <c r="L19" s="28">
        <f>'1_THIET_LAP_BU'!$C$11</f>
      </c>
      <c r="M19" s="27">
        <f>ROUND(K19*L19, 0)</f>
      </c>
      <c r="N19" s="25">
        <v>4</v>
      </c>
      <c r="O19" s="25" t="s">
        <v>138</v>
      </c>
      <c r="P19" s="27">
        <v>0</v>
      </c>
      <c r="Q19" s="27">
        <v>0</v>
      </c>
      <c r="R19" s="27">
        <v>0</v>
      </c>
      <c r="S19" s="27">
        <v>0</v>
      </c>
      <c r="T19" s="27">
        <v>0</v>
      </c>
      <c r="U19" s="27">
        <v>0</v>
      </c>
      <c r="V19" s="27">
        <v>0</v>
      </c>
      <c r="W19" s="27">
        <v>0</v>
      </c>
      <c r="X19" s="27">
        <f>ROUND($M19/$N19, 0)</f>
      </c>
      <c r="Y19" s="27">
        <f>ROUND($M19/$N19, 0)</f>
      </c>
      <c r="Z19" s="27">
        <f>ROUND($M19/$N19, 0)</f>
      </c>
      <c r="AA19" s="27">
        <f>ROUND($M19/$N19, 0)</f>
      </c>
      <c r="AB19" s="27">
        <v>0</v>
      </c>
      <c r="AC19" s="27">
        <v>0</v>
      </c>
      <c r="AD19" s="27">
        <v>0</v>
      </c>
      <c r="AE19" s="27">
        <f>SUM(R19:T19)</f>
      </c>
      <c r="AF19" s="27">
        <f>SUM(U19:W19)</f>
      </c>
      <c r="AG19" s="27">
        <f>SUM(X19:Z19)</f>
      </c>
      <c r="AH19" s="27">
        <f>SUM(AA19:AC19)</f>
      </c>
      <c r="AI19" s="27">
        <f>AD19</f>
      </c>
    </row>
    <row r="20" ht="20" customHeight="1" spans="1:35" x14ac:dyDescent="0.25">
      <c r="A20" s="25">
        <v>17</v>
      </c>
      <c r="B20" s="25" t="s">
        <v>126</v>
      </c>
      <c r="C20" s="25" t="s">
        <v>70</v>
      </c>
      <c r="D20" s="26" t="s">
        <v>163</v>
      </c>
      <c r="E20" s="25" t="s">
        <v>161</v>
      </c>
      <c r="F20" s="25" t="s">
        <v>162</v>
      </c>
      <c r="G20" s="25">
        <v>1</v>
      </c>
      <c r="H20" s="25">
        <v>10</v>
      </c>
      <c r="I20" s="25">
        <f>G20*H20</f>
      </c>
      <c r="J20" s="27">
        <f>IFERROR(VLOOKUP(C20, '2_PNL_SAN_PHAM'!$B$4:$H$25, 7, FALSE), 0)</f>
      </c>
      <c r="K20" s="27">
        <f>I20*J20</f>
      </c>
      <c r="L20" s="28">
        <f>'1_THIET_LAP_BU'!$C$11</f>
      </c>
      <c r="M20" s="27">
        <f>ROUND(K20*L20, 0)</f>
      </c>
      <c r="N20" s="25">
        <v>4</v>
      </c>
      <c r="O20" s="25" t="s">
        <v>138</v>
      </c>
      <c r="P20" s="27">
        <v>0</v>
      </c>
      <c r="Q20" s="27">
        <v>0</v>
      </c>
      <c r="R20" s="27">
        <v>0</v>
      </c>
      <c r="S20" s="27">
        <v>0</v>
      </c>
      <c r="T20" s="27">
        <v>0</v>
      </c>
      <c r="U20" s="27">
        <v>0</v>
      </c>
      <c r="V20" s="27">
        <v>0</v>
      </c>
      <c r="W20" s="27">
        <v>0</v>
      </c>
      <c r="X20" s="27">
        <f>ROUND($M20/$N20, 0)</f>
      </c>
      <c r="Y20" s="27">
        <f>ROUND($M20/$N20, 0)</f>
      </c>
      <c r="Z20" s="27">
        <f>ROUND($M20/$N20, 0)</f>
      </c>
      <c r="AA20" s="27">
        <f>ROUND($M20/$N20, 0)</f>
      </c>
      <c r="AB20" s="27">
        <v>0</v>
      </c>
      <c r="AC20" s="27">
        <v>0</v>
      </c>
      <c r="AD20" s="27">
        <v>0</v>
      </c>
      <c r="AE20" s="27">
        <f>SUM(R20:T20)</f>
      </c>
      <c r="AF20" s="27">
        <f>SUM(U20:W20)</f>
      </c>
      <c r="AG20" s="27">
        <f>SUM(X20:Z20)</f>
      </c>
      <c r="AH20" s="27">
        <f>SUM(AA20:AC20)</f>
      </c>
      <c r="AI20" s="27">
        <f>AD20</f>
      </c>
    </row>
    <row r="21" ht="20" customHeight="1" spans="1:35" x14ac:dyDescent="0.25">
      <c r="A21" s="25">
        <v>18</v>
      </c>
      <c r="B21" s="25" t="s">
        <v>126</v>
      </c>
      <c r="C21" s="25" t="s">
        <v>73</v>
      </c>
      <c r="D21" s="26" t="s">
        <v>164</v>
      </c>
      <c r="E21" s="25" t="s">
        <v>161</v>
      </c>
      <c r="F21" s="25" t="s">
        <v>165</v>
      </c>
      <c r="G21" s="25">
        <v>1</v>
      </c>
      <c r="H21" s="25">
        <v>10</v>
      </c>
      <c r="I21" s="25">
        <f>G21*H21</f>
      </c>
      <c r="J21" s="27">
        <f>IFERROR(VLOOKUP(C21, '2_PNL_SAN_PHAM'!$B$4:$H$25, 7, FALSE), 0)</f>
      </c>
      <c r="K21" s="27">
        <f>I21*J21</f>
      </c>
      <c r="L21" s="28">
        <f>'1_THIET_LAP_BU'!$C$11</f>
      </c>
      <c r="M21" s="27">
        <f>ROUND(K21*L21, 0)</f>
      </c>
      <c r="N21" s="25">
        <v>8</v>
      </c>
      <c r="O21" s="25" t="s">
        <v>159</v>
      </c>
      <c r="P21" s="27">
        <v>0</v>
      </c>
      <c r="Q21" s="27">
        <v>0</v>
      </c>
      <c r="R21" s="27">
        <v>0</v>
      </c>
      <c r="S21" s="27">
        <v>0</v>
      </c>
      <c r="T21" s="27">
        <f>ROUND($M21/$N21, 0)</f>
      </c>
      <c r="U21" s="27">
        <f>ROUND($M21/$N21, 0)</f>
      </c>
      <c r="V21" s="27">
        <f>ROUND($M21/$N21, 0)</f>
      </c>
      <c r="W21" s="27">
        <f>ROUND($M21/$N21, 0)</f>
      </c>
      <c r="X21" s="27">
        <f>ROUND($M21/$N21, 0)</f>
      </c>
      <c r="Y21" s="27">
        <f>ROUND($M21/$N21, 0)</f>
      </c>
      <c r="Z21" s="27">
        <f>ROUND($M21/$N21, 0)</f>
      </c>
      <c r="AA21" s="27">
        <f>ROUND($M21/$N21, 0)</f>
      </c>
      <c r="AB21" s="27">
        <v>0</v>
      </c>
      <c r="AC21" s="27">
        <v>0</v>
      </c>
      <c r="AD21" s="27">
        <v>0</v>
      </c>
      <c r="AE21" s="27">
        <f>SUM(R21:T21)</f>
      </c>
      <c r="AF21" s="27">
        <f>SUM(U21:W21)</f>
      </c>
      <c r="AG21" s="27">
        <f>SUM(X21:Z21)</f>
      </c>
      <c r="AH21" s="27">
        <f>SUM(AA21:AC21)</f>
      </c>
      <c r="AI21" s="27">
        <f>AD21</f>
      </c>
    </row>
    <row r="22" ht="20" customHeight="1" spans="1:35" x14ac:dyDescent="0.25">
      <c r="A22" s="25">
        <v>19</v>
      </c>
      <c r="B22" s="25" t="s">
        <v>126</v>
      </c>
      <c r="C22" s="25" t="s">
        <v>67</v>
      </c>
      <c r="D22" s="26" t="s">
        <v>166</v>
      </c>
      <c r="E22" s="25" t="s">
        <v>167</v>
      </c>
      <c r="F22" s="25" t="s">
        <v>168</v>
      </c>
      <c r="G22" s="25">
        <v>1</v>
      </c>
      <c r="H22" s="25">
        <v>10</v>
      </c>
      <c r="I22" s="25">
        <f>G22*H22</f>
      </c>
      <c r="J22" s="27">
        <f>IFERROR(VLOOKUP(C22, '2_PNL_SAN_PHAM'!$B$4:$H$25, 7, FALSE), 0)</f>
      </c>
      <c r="K22" s="27">
        <f>I22*J22</f>
      </c>
      <c r="L22" s="28">
        <f>'1_THIET_LAP_BU'!$C$11</f>
      </c>
      <c r="M22" s="27">
        <f>ROUND(K22*L22, 0)</f>
      </c>
      <c r="N22" s="25">
        <v>4</v>
      </c>
      <c r="O22" s="25" t="s">
        <v>138</v>
      </c>
      <c r="P22" s="27">
        <v>0</v>
      </c>
      <c r="Q22" s="27">
        <v>0</v>
      </c>
      <c r="R22" s="27">
        <v>0</v>
      </c>
      <c r="S22" s="27">
        <v>0</v>
      </c>
      <c r="T22" s="27">
        <v>0</v>
      </c>
      <c r="U22" s="27">
        <v>0</v>
      </c>
      <c r="V22" s="27">
        <v>0</v>
      </c>
      <c r="W22" s="27">
        <v>0</v>
      </c>
      <c r="X22" s="27">
        <v>0</v>
      </c>
      <c r="Y22" s="27">
        <f>ROUND($M22/$N22, 0)</f>
      </c>
      <c r="Z22" s="27">
        <f>ROUND($M22/$N22, 0)</f>
      </c>
      <c r="AA22" s="27">
        <f>ROUND($M22/$N22, 0)</f>
      </c>
      <c r="AB22" s="27">
        <f>ROUND($M22/$N22, 0)</f>
      </c>
      <c r="AC22" s="27">
        <v>0</v>
      </c>
      <c r="AD22" s="27">
        <v>0</v>
      </c>
      <c r="AE22" s="27">
        <f>SUM(R22:T22)</f>
      </c>
      <c r="AF22" s="27">
        <f>SUM(U22:W22)</f>
      </c>
      <c r="AG22" s="27">
        <f>SUM(X22:Z22)</f>
      </c>
      <c r="AH22" s="27">
        <f>SUM(AA22:AC22)</f>
      </c>
      <c r="AI22" s="27">
        <f>AD22</f>
      </c>
    </row>
    <row r="23" ht="20" customHeight="1" spans="1:35" x14ac:dyDescent="0.25">
      <c r="A23" s="25">
        <v>20</v>
      </c>
      <c r="B23" s="25" t="s">
        <v>126</v>
      </c>
      <c r="C23" s="25" t="s">
        <v>70</v>
      </c>
      <c r="D23" s="26" t="s">
        <v>169</v>
      </c>
      <c r="E23" s="25" t="s">
        <v>167</v>
      </c>
      <c r="F23" s="25" t="s">
        <v>168</v>
      </c>
      <c r="G23" s="25">
        <v>1</v>
      </c>
      <c r="H23" s="25">
        <v>10</v>
      </c>
      <c r="I23" s="25">
        <f>G23*H23</f>
      </c>
      <c r="J23" s="27">
        <f>IFERROR(VLOOKUP(C23, '2_PNL_SAN_PHAM'!$B$4:$H$25, 7, FALSE), 0)</f>
      </c>
      <c r="K23" s="27">
        <f>I23*J23</f>
      </c>
      <c r="L23" s="28">
        <f>'1_THIET_LAP_BU'!$C$11</f>
      </c>
      <c r="M23" s="27">
        <f>ROUND(K23*L23, 0)</f>
      </c>
      <c r="N23" s="25">
        <v>4</v>
      </c>
      <c r="O23" s="25" t="s">
        <v>138</v>
      </c>
      <c r="P23" s="27">
        <v>0</v>
      </c>
      <c r="Q23" s="27">
        <v>0</v>
      </c>
      <c r="R23" s="27">
        <v>0</v>
      </c>
      <c r="S23" s="27">
        <v>0</v>
      </c>
      <c r="T23" s="27">
        <v>0</v>
      </c>
      <c r="U23" s="27">
        <v>0</v>
      </c>
      <c r="V23" s="27">
        <v>0</v>
      </c>
      <c r="W23" s="27">
        <v>0</v>
      </c>
      <c r="X23" s="27">
        <v>0</v>
      </c>
      <c r="Y23" s="27">
        <f>ROUND($M23/$N23, 0)</f>
      </c>
      <c r="Z23" s="27">
        <f>ROUND($M23/$N23, 0)</f>
      </c>
      <c r="AA23" s="27">
        <f>ROUND($M23/$N23, 0)</f>
      </c>
      <c r="AB23" s="27">
        <f>ROUND($M23/$N23, 0)</f>
      </c>
      <c r="AC23" s="27">
        <v>0</v>
      </c>
      <c r="AD23" s="27">
        <v>0</v>
      </c>
      <c r="AE23" s="27">
        <f>SUM(R23:T23)</f>
      </c>
      <c r="AF23" s="27">
        <f>SUM(U23:W23)</f>
      </c>
      <c r="AG23" s="27">
        <f>SUM(X23:Z23)</f>
      </c>
      <c r="AH23" s="27">
        <f>SUM(AA23:AC23)</f>
      </c>
      <c r="AI23" s="27">
        <f>AD23</f>
      </c>
    </row>
    <row r="24" ht="20" customHeight="1" spans="1:35" x14ac:dyDescent="0.25">
      <c r="A24" s="25">
        <v>21</v>
      </c>
      <c r="B24" s="25" t="s">
        <v>126</v>
      </c>
      <c r="C24" s="25" t="s">
        <v>77</v>
      </c>
      <c r="D24" s="26" t="s">
        <v>170</v>
      </c>
      <c r="E24" s="25" t="s">
        <v>167</v>
      </c>
      <c r="F24" s="25" t="s">
        <v>168</v>
      </c>
      <c r="G24" s="25">
        <v>1</v>
      </c>
      <c r="H24" s="25">
        <v>10</v>
      </c>
      <c r="I24" s="25">
        <f>G24*H24</f>
      </c>
      <c r="J24" s="27">
        <f>IFERROR(VLOOKUP(C24, '2_PNL_SAN_PHAM'!$B$4:$H$25, 7, FALSE), 0)</f>
      </c>
      <c r="K24" s="27">
        <f>I24*J24</f>
      </c>
      <c r="L24" s="28">
        <f>'1_THIET_LAP_BU'!$C$11</f>
      </c>
      <c r="M24" s="27">
        <f>ROUND(K24*L24, 0)</f>
      </c>
      <c r="N24" s="25">
        <v>10</v>
      </c>
      <c r="O24" s="25" t="s">
        <v>171</v>
      </c>
      <c r="P24" s="27">
        <v>0</v>
      </c>
      <c r="Q24" s="27">
        <v>0</v>
      </c>
      <c r="R24" s="27">
        <v>0</v>
      </c>
      <c r="S24" s="27">
        <f>ROUND($M24/$N24, 0)</f>
      </c>
      <c r="T24" s="27">
        <f>ROUND($M24/$N24, 0)</f>
      </c>
      <c r="U24" s="27">
        <f>ROUND($M24/$N24, 0)</f>
      </c>
      <c r="V24" s="27">
        <f>ROUND($M24/$N24, 0)</f>
      </c>
      <c r="W24" s="27">
        <f>ROUND($M24/$N24, 0)</f>
      </c>
      <c r="X24" s="27">
        <f>ROUND($M24/$N24, 0)</f>
      </c>
      <c r="Y24" s="27">
        <f>ROUND($M24/$N24, 0)</f>
      </c>
      <c r="Z24" s="27">
        <f>ROUND($M24/$N24, 0)</f>
      </c>
      <c r="AA24" s="27">
        <f>ROUND($M24/$N24, 0)</f>
      </c>
      <c r="AB24" s="27">
        <f>ROUND($M24/$N24, 0)</f>
      </c>
      <c r="AC24" s="27">
        <v>0</v>
      </c>
      <c r="AD24" s="27">
        <v>0</v>
      </c>
      <c r="AE24" s="27">
        <f>SUM(R24:T24)</f>
      </c>
      <c r="AF24" s="27">
        <f>SUM(U24:W24)</f>
      </c>
      <c r="AG24" s="27">
        <f>SUM(X24:Z24)</f>
      </c>
      <c r="AH24" s="27">
        <f>SUM(AA24:AC24)</f>
      </c>
      <c r="AI24" s="27">
        <f>AD24</f>
      </c>
    </row>
    <row r="25" ht="20" customHeight="1" spans="1:35" x14ac:dyDescent="0.25">
      <c r="A25" s="25">
        <v>22</v>
      </c>
      <c r="B25" s="25" t="s">
        <v>126</v>
      </c>
      <c r="C25" s="25" t="s">
        <v>80</v>
      </c>
      <c r="D25" s="26" t="s">
        <v>172</v>
      </c>
      <c r="E25" s="25" t="s">
        <v>167</v>
      </c>
      <c r="F25" s="25" t="s">
        <v>168</v>
      </c>
      <c r="G25" s="25">
        <v>1</v>
      </c>
      <c r="H25" s="25">
        <v>10</v>
      </c>
      <c r="I25" s="25">
        <f>G25*H25</f>
      </c>
      <c r="J25" s="27">
        <f>IFERROR(VLOOKUP(C25, '2_PNL_SAN_PHAM'!$B$4:$H$25, 7, FALSE), 0)</f>
      </c>
      <c r="K25" s="27">
        <f>I25*J25</f>
      </c>
      <c r="L25" s="28">
        <f>'1_THIET_LAP_BU'!$C$11</f>
      </c>
      <c r="M25" s="27">
        <f>ROUND(K25*L25, 0)</f>
      </c>
      <c r="N25" s="25">
        <v>6</v>
      </c>
      <c r="O25" s="25" t="s">
        <v>173</v>
      </c>
      <c r="P25" s="27">
        <v>0</v>
      </c>
      <c r="Q25" s="27">
        <v>0</v>
      </c>
      <c r="R25" s="27">
        <v>0</v>
      </c>
      <c r="S25" s="27">
        <v>0</v>
      </c>
      <c r="T25" s="27">
        <v>0</v>
      </c>
      <c r="U25" s="27">
        <v>0</v>
      </c>
      <c r="V25" s="27">
        <v>0</v>
      </c>
      <c r="W25" s="27">
        <f>ROUND($M25/$N25, 0)</f>
      </c>
      <c r="X25" s="27">
        <f>ROUND($M25/$N25, 0)</f>
      </c>
      <c r="Y25" s="27">
        <f>ROUND($M25/$N25, 0)</f>
      </c>
      <c r="Z25" s="27">
        <f>ROUND($M25/$N25, 0)</f>
      </c>
      <c r="AA25" s="27">
        <f>ROUND($M25/$N25, 0)</f>
      </c>
      <c r="AB25" s="27">
        <f>ROUND($M25/$N25, 0)</f>
      </c>
      <c r="AC25" s="27">
        <v>0</v>
      </c>
      <c r="AD25" s="27">
        <v>0</v>
      </c>
      <c r="AE25" s="27">
        <f>SUM(R25:T25)</f>
      </c>
      <c r="AF25" s="27">
        <f>SUM(U25:W25)</f>
      </c>
      <c r="AG25" s="27">
        <f>SUM(X25:Z25)</f>
      </c>
      <c r="AH25" s="27">
        <f>SUM(AA25:AC25)</f>
      </c>
      <c r="AI25" s="27">
        <f>AD25</f>
      </c>
    </row>
    <row r="26" ht="20" customHeight="1" spans="1:35" x14ac:dyDescent="0.25">
      <c r="A26" s="25">
        <v>23</v>
      </c>
      <c r="B26" s="25" t="s">
        <v>126</v>
      </c>
      <c r="C26" s="25" t="s">
        <v>83</v>
      </c>
      <c r="D26" s="26" t="s">
        <v>174</v>
      </c>
      <c r="E26" s="25" t="s">
        <v>167</v>
      </c>
      <c r="F26" s="25" t="s">
        <v>175</v>
      </c>
      <c r="G26" s="25">
        <v>1</v>
      </c>
      <c r="H26" s="25">
        <v>10</v>
      </c>
      <c r="I26" s="25">
        <f>G26*H26</f>
      </c>
      <c r="J26" s="27">
        <f>IFERROR(VLOOKUP(C26, '2_PNL_SAN_PHAM'!$B$4:$H$25, 7, FALSE), 0)</f>
      </c>
      <c r="K26" s="27">
        <f>I26*J26</f>
      </c>
      <c r="L26" s="28">
        <f>'1_THIET_LAP_BU'!$C$11</f>
      </c>
      <c r="M26" s="27">
        <f>ROUND(K26*L26, 0)</f>
      </c>
      <c r="N26" s="25">
        <v>5</v>
      </c>
      <c r="O26" s="25" t="s">
        <v>141</v>
      </c>
      <c r="P26" s="27">
        <v>0</v>
      </c>
      <c r="Q26" s="27">
        <v>0</v>
      </c>
      <c r="R26" s="27">
        <v>0</v>
      </c>
      <c r="S26" s="27">
        <v>0</v>
      </c>
      <c r="T26" s="27">
        <v>0</v>
      </c>
      <c r="U26" s="27">
        <v>0</v>
      </c>
      <c r="V26" s="27">
        <v>0</v>
      </c>
      <c r="W26" s="27">
        <v>0</v>
      </c>
      <c r="X26" s="27">
        <f>ROUND($M26/$N26, 0)</f>
      </c>
      <c r="Y26" s="27">
        <f>ROUND($M26/$N26, 0)</f>
      </c>
      <c r="Z26" s="27">
        <f>ROUND($M26/$N26, 0)</f>
      </c>
      <c r="AA26" s="27">
        <f>ROUND($M26/$N26, 0)</f>
      </c>
      <c r="AB26" s="27">
        <f>ROUND($M26/$N26, 0)</f>
      </c>
      <c r="AC26" s="27">
        <v>0</v>
      </c>
      <c r="AD26" s="27">
        <v>0</v>
      </c>
      <c r="AE26" s="27">
        <f>SUM(R26:T26)</f>
      </c>
      <c r="AF26" s="27">
        <f>SUM(U26:W26)</f>
      </c>
      <c r="AG26" s="27">
        <f>SUM(X26:Z26)</f>
      </c>
      <c r="AH26" s="27">
        <f>SUM(AA26:AC26)</f>
      </c>
      <c r="AI26" s="27">
        <f>AD26</f>
      </c>
    </row>
    <row r="27" ht="20" customHeight="1" spans="1:35" x14ac:dyDescent="0.25">
      <c r="A27" s="25">
        <v>24</v>
      </c>
      <c r="B27" s="25" t="s">
        <v>126</v>
      </c>
      <c r="C27" s="25" t="s">
        <v>50</v>
      </c>
      <c r="D27" s="26" t="s">
        <v>176</v>
      </c>
      <c r="E27" s="25" t="s">
        <v>177</v>
      </c>
      <c r="F27" s="25" t="s">
        <v>178</v>
      </c>
      <c r="G27" s="25">
        <v>2</v>
      </c>
      <c r="H27" s="25">
        <v>10</v>
      </c>
      <c r="I27" s="25">
        <f>G27*H27</f>
      </c>
      <c r="J27" s="27">
        <f>IFERROR(VLOOKUP(C27, '2_PNL_SAN_PHAM'!$B$4:$H$25, 7, FALSE), 0)</f>
      </c>
      <c r="K27" s="27">
        <f>I27*J27</f>
      </c>
      <c r="L27" s="28">
        <f>'1_THIET_LAP_BU'!$C$11</f>
      </c>
      <c r="M27" s="27">
        <f>ROUND(K27*L27, 0)</f>
      </c>
      <c r="N27" s="25">
        <v>5</v>
      </c>
      <c r="O27" s="25" t="s">
        <v>141</v>
      </c>
      <c r="P27" s="27">
        <v>0</v>
      </c>
      <c r="Q27" s="27">
        <v>0</v>
      </c>
      <c r="R27" s="27">
        <v>0</v>
      </c>
      <c r="S27" s="27">
        <v>0</v>
      </c>
      <c r="T27" s="27">
        <v>0</v>
      </c>
      <c r="U27" s="27">
        <v>0</v>
      </c>
      <c r="V27" s="27">
        <v>0</v>
      </c>
      <c r="W27" s="27">
        <v>0</v>
      </c>
      <c r="X27" s="27">
        <v>0</v>
      </c>
      <c r="Y27" s="27">
        <f>ROUND($M27/$N27, 0)</f>
      </c>
      <c r="Z27" s="27">
        <f>ROUND($M27/$N27, 0)</f>
      </c>
      <c r="AA27" s="27">
        <f>ROUND($M27/$N27, 0)</f>
      </c>
      <c r="AB27" s="27">
        <f>ROUND($M27/$N27, 0)</f>
      </c>
      <c r="AC27" s="27">
        <f>ROUND($M27/$N27, 0)</f>
      </c>
      <c r="AD27" s="27">
        <v>0</v>
      </c>
      <c r="AE27" s="27">
        <f>SUM(R27:T27)</f>
      </c>
      <c r="AF27" s="27">
        <f>SUM(U27:W27)</f>
      </c>
      <c r="AG27" s="27">
        <f>SUM(X27:Z27)</f>
      </c>
      <c r="AH27" s="27">
        <f>SUM(AA27:AC27)</f>
      </c>
      <c r="AI27" s="27">
        <f>AD27</f>
      </c>
    </row>
    <row r="28" ht="20" customHeight="1" spans="1:35" x14ac:dyDescent="0.25">
      <c r="A28" s="25">
        <v>25</v>
      </c>
      <c r="B28" s="25" t="s">
        <v>179</v>
      </c>
      <c r="C28" s="25" t="s">
        <v>54</v>
      </c>
      <c r="D28" s="26" t="s">
        <v>180</v>
      </c>
      <c r="E28" s="25" t="s">
        <v>136</v>
      </c>
      <c r="F28" s="25" t="s">
        <v>137</v>
      </c>
      <c r="G28" s="25">
        <v>1</v>
      </c>
      <c r="H28" s="25">
        <v>10</v>
      </c>
      <c r="I28" s="25">
        <f>G28*H28</f>
      </c>
      <c r="J28" s="27">
        <f>IFERROR(VLOOKUP(C28, '2_PNL_SAN_PHAM'!$B$4:$H$25, 7, FALSE), 0)</f>
      </c>
      <c r="K28" s="27">
        <f>I28*J28</f>
      </c>
      <c r="L28" s="28">
        <f>'1_THIET_LAP_BU'!$C$11</f>
      </c>
      <c r="M28" s="27">
        <f>ROUND(K28*L28, 0)</f>
      </c>
      <c r="N28" s="25">
        <v>4</v>
      </c>
      <c r="O28" s="25" t="s">
        <v>138</v>
      </c>
      <c r="P28" s="27">
        <v>0</v>
      </c>
      <c r="Q28" s="27">
        <v>0</v>
      </c>
      <c r="R28" s="27">
        <f>ROUND($M28/$N28, 0)</f>
      </c>
      <c r="S28" s="27">
        <f>ROUND($M28/$N28, 0)</f>
      </c>
      <c r="T28" s="27">
        <f>ROUND($M28/$N28, 0)</f>
      </c>
      <c r="U28" s="27">
        <f>ROUND($M28/$N28, 0)</f>
      </c>
      <c r="V28" s="27">
        <v>0</v>
      </c>
      <c r="W28" s="27">
        <v>0</v>
      </c>
      <c r="X28" s="27">
        <v>0</v>
      </c>
      <c r="Y28" s="27">
        <v>0</v>
      </c>
      <c r="Z28" s="27">
        <v>0</v>
      </c>
      <c r="AA28" s="27">
        <v>0</v>
      </c>
      <c r="AB28" s="27">
        <v>0</v>
      </c>
      <c r="AC28" s="27">
        <v>0</v>
      </c>
      <c r="AD28" s="27">
        <v>0</v>
      </c>
      <c r="AE28" s="27">
        <f>SUM(R28:T28)</f>
      </c>
      <c r="AF28" s="27">
        <f>SUM(U28:W28)</f>
      </c>
      <c r="AG28" s="27">
        <f>SUM(X28:Z28)</f>
      </c>
      <c r="AH28" s="27">
        <f>SUM(AA28:AC28)</f>
      </c>
      <c r="AI28" s="27">
        <f>AD28</f>
      </c>
    </row>
    <row r="29" ht="20" customHeight="1" spans="1:35" x14ac:dyDescent="0.25">
      <c r="A29" s="25">
        <v>26</v>
      </c>
      <c r="B29" s="25" t="s">
        <v>179</v>
      </c>
      <c r="C29" s="25" t="s">
        <v>54</v>
      </c>
      <c r="D29" s="26" t="s">
        <v>181</v>
      </c>
      <c r="E29" s="25" t="s">
        <v>182</v>
      </c>
      <c r="F29" s="25" t="s">
        <v>183</v>
      </c>
      <c r="G29" s="25">
        <v>1</v>
      </c>
      <c r="H29" s="25">
        <v>10</v>
      </c>
      <c r="I29" s="25">
        <f>G29*H29</f>
      </c>
      <c r="J29" s="27">
        <f>IFERROR(VLOOKUP(C29, '2_PNL_SAN_PHAM'!$B$4:$H$25, 7, FALSE), 0)</f>
      </c>
      <c r="K29" s="27">
        <f>I29*J29</f>
      </c>
      <c r="L29" s="28">
        <f>'1_THIET_LAP_BU'!$C$11</f>
      </c>
      <c r="M29" s="27">
        <f>ROUND(K29*L29, 0)</f>
      </c>
      <c r="N29" s="25">
        <v>4</v>
      </c>
      <c r="O29" s="25" t="s">
        <v>138</v>
      </c>
      <c r="P29" s="27">
        <v>0</v>
      </c>
      <c r="Q29" s="27">
        <v>0</v>
      </c>
      <c r="R29" s="27">
        <v>0</v>
      </c>
      <c r="S29" s="27">
        <v>0</v>
      </c>
      <c r="T29" s="27">
        <v>0</v>
      </c>
      <c r="U29" s="27">
        <v>0</v>
      </c>
      <c r="V29" s="27">
        <v>0</v>
      </c>
      <c r="W29" s="27">
        <v>0</v>
      </c>
      <c r="X29" s="27">
        <v>0</v>
      </c>
      <c r="Y29" s="27">
        <v>0</v>
      </c>
      <c r="Z29" s="27">
        <v>0</v>
      </c>
      <c r="AA29" s="27">
        <f>ROUND($M29/$N29, 0)</f>
      </c>
      <c r="AB29" s="27">
        <f>ROUND($M29/$N29, 0)</f>
      </c>
      <c r="AC29" s="27">
        <f>ROUND($M29/$N29, 0)</f>
      </c>
      <c r="AD29" s="27">
        <f>ROUND($M29/$N29, 0)</f>
      </c>
      <c r="AE29" s="27">
        <f>SUM(R29:T29)</f>
      </c>
      <c r="AF29" s="27">
        <f>SUM(U29:W29)</f>
      </c>
      <c r="AG29" s="27">
        <f>SUM(X29:Z29)</f>
      </c>
      <c r="AH29" s="27">
        <f>SUM(AA29:AC29)</f>
      </c>
      <c r="AI29" s="27">
        <f>AD29</f>
      </c>
    </row>
    <row r="30" ht="20" customHeight="1" spans="1:35" x14ac:dyDescent="0.25">
      <c r="A30" s="25">
        <v>27</v>
      </c>
      <c r="B30" s="25" t="s">
        <v>179</v>
      </c>
      <c r="C30" s="25" t="s">
        <v>57</v>
      </c>
      <c r="D30" s="26" t="s">
        <v>184</v>
      </c>
      <c r="E30" s="25" t="s">
        <v>147</v>
      </c>
      <c r="F30" s="25" t="s">
        <v>148</v>
      </c>
      <c r="G30" s="25">
        <v>1</v>
      </c>
      <c r="H30" s="25">
        <v>10</v>
      </c>
      <c r="I30" s="25">
        <f>G30*H30</f>
      </c>
      <c r="J30" s="27">
        <f>IFERROR(VLOOKUP(C30, '2_PNL_SAN_PHAM'!$B$4:$H$25, 7, FALSE), 0)</f>
      </c>
      <c r="K30" s="27">
        <f>I30*J30</f>
      </c>
      <c r="L30" s="28">
        <f>'1_THIET_LAP_BU'!$C$11</f>
      </c>
      <c r="M30" s="27">
        <f>ROUND(K30*L30, 0)</f>
      </c>
      <c r="N30" s="25">
        <v>4</v>
      </c>
      <c r="O30" s="25" t="s">
        <v>138</v>
      </c>
      <c r="P30" s="27">
        <v>0</v>
      </c>
      <c r="Q30" s="27">
        <v>0</v>
      </c>
      <c r="R30" s="27">
        <v>0</v>
      </c>
      <c r="S30" s="27">
        <v>0</v>
      </c>
      <c r="T30" s="27">
        <f>ROUND($M30/$N30, 0)</f>
      </c>
      <c r="U30" s="27">
        <f>ROUND($M30/$N30, 0)</f>
      </c>
      <c r="V30" s="27">
        <f>ROUND($M30/$N30, 0)</f>
      </c>
      <c r="W30" s="27">
        <f>ROUND($M30/$N30, 0)</f>
      </c>
      <c r="X30" s="27">
        <v>0</v>
      </c>
      <c r="Y30" s="27">
        <v>0</v>
      </c>
      <c r="Z30" s="27">
        <v>0</v>
      </c>
      <c r="AA30" s="27">
        <v>0</v>
      </c>
      <c r="AB30" s="27">
        <v>0</v>
      </c>
      <c r="AC30" s="27">
        <v>0</v>
      </c>
      <c r="AD30" s="27">
        <v>0</v>
      </c>
      <c r="AE30" s="27">
        <f>SUM(R30:T30)</f>
      </c>
      <c r="AF30" s="27">
        <f>SUM(U30:W30)</f>
      </c>
      <c r="AG30" s="27">
        <f>SUM(X30:Z30)</f>
      </c>
      <c r="AH30" s="27">
        <f>SUM(AA30:AC30)</f>
      </c>
      <c r="AI30" s="27">
        <f>AD30</f>
      </c>
    </row>
    <row r="31" ht="24" customHeight="1" spans="1:35" x14ac:dyDescent="0.25">
      <c r="A31" s="29"/>
      <c r="B31" s="29" t="s">
        <v>185</v>
      </c>
      <c r="C31" s="29"/>
      <c r="D31" s="29"/>
      <c r="E31" s="29"/>
      <c r="F31" s="29"/>
      <c r="G31" s="29">
        <f>SUMIF($B$4:$B$30, "Chính thức", G$4:G$30)</f>
      </c>
      <c r="H31" s="29"/>
      <c r="I31" s="29">
        <f>SUMIF($B$4:$B$30, "Chính thức", I$4:I$30)</f>
      </c>
      <c r="J31" s="29"/>
      <c r="K31" s="30">
        <f>SUMIF($B$4:$B$30, "Chính thức", K$4:K$30)</f>
      </c>
      <c r="L31" s="29"/>
      <c r="M31" s="30">
        <f>SUMIF($B$4:$B$30, "Chính thức", M$4:M$30)</f>
      </c>
      <c r="N31" s="29"/>
      <c r="O31" s="29"/>
      <c r="P31" s="30">
        <f>SUMIF($B$4:$B$30, "Chính thức", P$4:P$30)</f>
      </c>
      <c r="Q31" s="30">
        <f>SUMIF($B$4:$B$30, "Chính thức", Q$4:Q$30)</f>
      </c>
      <c r="R31" s="30">
        <f>SUMIF($B$4:$B$30, "Chính thức", R$4:R$30)</f>
      </c>
      <c r="S31" s="30">
        <f>SUMIF($B$4:$B$30, "Chính thức", S$4:S$30)</f>
      </c>
      <c r="T31" s="30">
        <f>SUMIF($B$4:$B$30, "Chính thức", T$4:T$30)</f>
      </c>
      <c r="U31" s="30">
        <f>SUMIF($B$4:$B$30, "Chính thức", U$4:U$30)</f>
      </c>
      <c r="V31" s="30">
        <f>SUMIF($B$4:$B$30, "Chính thức", V$4:V$30)</f>
      </c>
      <c r="W31" s="30">
        <f>SUMIF($B$4:$B$30, "Chính thức", W$4:W$30)</f>
      </c>
      <c r="X31" s="30">
        <f>SUMIF($B$4:$B$30, "Chính thức", X$4:X$30)</f>
      </c>
      <c r="Y31" s="30">
        <f>SUMIF($B$4:$B$30, "Chính thức", Y$4:Y$30)</f>
      </c>
      <c r="Z31" s="30">
        <f>SUMIF($B$4:$B$30, "Chính thức", Z$4:Z$30)</f>
      </c>
      <c r="AA31" s="30">
        <f>SUMIF($B$4:$B$30, "Chính thức", AA$4:AA$30)</f>
      </c>
      <c r="AB31" s="30">
        <f>SUMIF($B$4:$B$30, "Chính thức", AB$4:AB$30)</f>
      </c>
      <c r="AC31" s="30">
        <f>SUMIF($B$4:$B$30, "Chính thức", AC$4:AC$30)</f>
      </c>
      <c r="AD31" s="30">
        <f>SUMIF($B$4:$B$30, "Chính thức", AD$4:AD$30)</f>
      </c>
      <c r="AE31" s="30">
        <f>SUMIF($B$4:$B$30, "Chính thức", AE$4:AE$30)</f>
      </c>
      <c r="AF31" s="30">
        <f>SUMIF($B$4:$B$30, "Chính thức", AF$4:AF$30)</f>
      </c>
      <c r="AG31" s="30">
        <f>SUMIF($B$4:$B$30, "Chính thức", AG$4:AG$30)</f>
      </c>
      <c r="AH31" s="30">
        <f>SUMIF($B$4:$B$30, "Chính thức", AH$4:AH$30)</f>
      </c>
      <c r="AI31" s="30">
        <f>SUMIF($B$4:$B$30, "Chính thức", AI$4:AI$30)</f>
      </c>
    </row>
    <row r="32" ht="24" customHeight="1" spans="1:35" x14ac:dyDescent="0.25">
      <c r="A32" s="31"/>
      <c r="B32" s="31" t="s">
        <v>186</v>
      </c>
      <c r="C32" s="31"/>
      <c r="D32" s="31"/>
      <c r="E32" s="31"/>
      <c r="F32" s="31"/>
      <c r="G32" s="31">
        <f>SUMIF($B$4:$B$30, "Mở rộng / Dự phòng", G$4:G$30)</f>
      </c>
      <c r="H32" s="31"/>
      <c r="I32" s="31">
        <f>SUMIF($B$4:$B$30, "Mở rộng / Dự phòng", I$4:I$30)</f>
      </c>
      <c r="J32" s="31"/>
      <c r="K32" s="32">
        <f>SUMIF($B$4:$B$30, "Mở rộng / Dự phòng", K$4:K$30)</f>
      </c>
      <c r="L32" s="31"/>
      <c r="M32" s="32">
        <f>SUMIF($B$4:$B$30, "Mở rộng / Dự phòng", M$4:M$30)</f>
      </c>
      <c r="N32" s="31"/>
      <c r="O32" s="31"/>
      <c r="P32" s="32">
        <f>SUMIF($B$4:$B$30, "Mở rộng / Dự phòng", P$4:P$30)</f>
      </c>
      <c r="Q32" s="32">
        <f>SUMIF($B$4:$B$30, "Mở rộng / Dự phòng", Q$4:Q$30)</f>
      </c>
      <c r="R32" s="32">
        <f>SUMIF($B$4:$B$30, "Mở rộng / Dự phòng", R$4:R$30)</f>
      </c>
      <c r="S32" s="32">
        <f>SUMIF($B$4:$B$30, "Mở rộng / Dự phòng", S$4:S$30)</f>
      </c>
      <c r="T32" s="32">
        <f>SUMIF($B$4:$B$30, "Mở rộng / Dự phòng", T$4:T$30)</f>
      </c>
      <c r="U32" s="32">
        <f>SUMIF($B$4:$B$30, "Mở rộng / Dự phòng", U$4:U$30)</f>
      </c>
      <c r="V32" s="32">
        <f>SUMIF($B$4:$B$30, "Mở rộng / Dự phòng", V$4:V$30)</f>
      </c>
      <c r="W32" s="32">
        <f>SUMIF($B$4:$B$30, "Mở rộng / Dự phòng", W$4:W$30)</f>
      </c>
      <c r="X32" s="32">
        <f>SUMIF($B$4:$B$30, "Mở rộng / Dự phòng", X$4:X$30)</f>
      </c>
      <c r="Y32" s="32">
        <f>SUMIF($B$4:$B$30, "Mở rộng / Dự phòng", Y$4:Y$30)</f>
      </c>
      <c r="Z32" s="32">
        <f>SUMIF($B$4:$B$30, "Mở rộng / Dự phòng", Z$4:Z$30)</f>
      </c>
      <c r="AA32" s="32">
        <f>SUMIF($B$4:$B$30, "Mở rộng / Dự phòng", AA$4:AA$30)</f>
      </c>
      <c r="AB32" s="32">
        <f>SUMIF($B$4:$B$30, "Mở rộng / Dự phòng", AB$4:AB$30)</f>
      </c>
      <c r="AC32" s="32">
        <f>SUMIF($B$4:$B$30, "Mở rộng / Dự phòng", AC$4:AC$30)</f>
      </c>
      <c r="AD32" s="32">
        <f>SUMIF($B$4:$B$30, "Mở rộng / Dự phòng", AD$4:AD$30)</f>
      </c>
      <c r="AE32" s="32">
        <f>SUMIF($B$4:$B$30, "Mở rộng / Dự phòng", AE$4:AE$30)</f>
      </c>
      <c r="AF32" s="32">
        <f>SUMIF($B$4:$B$30, "Mở rộng / Dự phòng", AF$4:AF$30)</f>
      </c>
      <c r="AG32" s="32">
        <f>SUMIF($B$4:$B$30, "Mở rộng / Dự phòng", AG$4:AG$30)</f>
      </c>
      <c r="AH32" s="32">
        <f>SUMIF($B$4:$B$30, "Mở rộng / Dự phòng", AH$4:AH$30)</f>
      </c>
      <c r="AI32" s="32">
        <f>SUMIF($B$4:$B$30, "Mở rộng / Dự phòng", AI$4:AI$30)</f>
      </c>
    </row>
    <row r="33" ht="28" customHeight="1" spans="1:35" x14ac:dyDescent="0.25">
      <c r="A33" s="19"/>
      <c r="B33" s="19" t="s">
        <v>187</v>
      </c>
      <c r="C33" s="19"/>
      <c r="D33" s="19"/>
      <c r="E33" s="19"/>
      <c r="F33" s="19"/>
      <c r="G33" s="19">
        <f>SUM(G$4:G$30)</f>
      </c>
      <c r="H33" s="19"/>
      <c r="I33" s="19">
        <f>SUM(I$4:I$30)</f>
      </c>
      <c r="J33" s="19"/>
      <c r="K33" s="20">
        <f>SUM(K$4:K$30)</f>
      </c>
      <c r="L33" s="19"/>
      <c r="M33" s="20">
        <f>SUM(M$4:M$30)</f>
      </c>
      <c r="N33" s="19"/>
      <c r="O33" s="19"/>
      <c r="P33" s="20">
        <f>SUM(P$4:P$30)</f>
      </c>
      <c r="Q33" s="20">
        <f>SUM(Q$4:Q$30)</f>
      </c>
      <c r="R33" s="20">
        <f>SUM(R$4:R$30)</f>
      </c>
      <c r="S33" s="20">
        <f>SUM(S$4:S$30)</f>
      </c>
      <c r="T33" s="20">
        <f>SUM(T$4:T$30)</f>
      </c>
      <c r="U33" s="20">
        <f>SUM(U$4:U$30)</f>
      </c>
      <c r="V33" s="20">
        <f>SUM(V$4:V$30)</f>
      </c>
      <c r="W33" s="20">
        <f>SUM(W$4:W$30)</f>
      </c>
      <c r="X33" s="20">
        <f>SUM(X$4:X$30)</f>
      </c>
      <c r="Y33" s="20">
        <f>SUM(Y$4:Y$30)</f>
      </c>
      <c r="Z33" s="20">
        <f>SUM(Z$4:Z$30)</f>
      </c>
      <c r="AA33" s="20">
        <f>SUM(AA$4:AA$30)</f>
      </c>
      <c r="AB33" s="20">
        <f>SUM(AB$4:AB$30)</f>
      </c>
      <c r="AC33" s="20">
        <f>SUM(AC$4:AC$30)</f>
      </c>
      <c r="AD33" s="20">
        <f>SUM(AD$4:AD$30)</f>
      </c>
      <c r="AE33" s="20">
        <f>SUM(AE$4:AE$30)</f>
      </c>
      <c r="AF33" s="20">
        <f>SUM(AF$4:AF$30)</f>
      </c>
      <c r="AG33" s="20">
        <f>SUM(AG$4:AG$30)</f>
      </c>
      <c r="AH33" s="20">
        <f>SUM(AH$4:AH$30)</f>
      </c>
      <c r="AI33" s="20">
        <f>SUM(AI$4:AI$30)</f>
      </c>
    </row>
  </sheetData>
  <mergeCells count="4">
    <mergeCell ref="A1:AI1"/>
    <mergeCell ref="A2:O2"/>
    <mergeCell ref="P2:AD2"/>
    <mergeCell ref="AE2:AI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2"/>
  <sheetViews>
    <sheetView workbookViewId="0"/>
  </sheetViews>
  <sheetFormatPr defaultRowHeight="15" outlineLevelRow="0" outlineLevelCol="0" x14ac:dyDescent="55"/>
  <cols>
    <col min="1" max="1" width="5" customWidth="1"/>
    <col min="2" max="2" width="24" customWidth="1"/>
    <col min="3" max="5" width="22" customWidth="1"/>
    <col min="6" max="6" width="45" customWidth="1"/>
  </cols>
  <sheetData>
    <row r="2" ht="36" customHeight="1" spans="2:6" x14ac:dyDescent="0.25">
      <c r="B2" s="1" t="s">
        <v>188</v>
      </c>
      <c r="C2" s="1"/>
      <c r="D2" s="1"/>
      <c r="E2" s="1"/>
      <c r="F2" s="1"/>
    </row>
    <row r="3" ht="20" customHeight="1" spans="2:6" x14ac:dyDescent="0.25">
      <c r="B3" s="2" t="s">
        <v>189</v>
      </c>
      <c r="C3" s="2"/>
      <c r="D3" s="2"/>
      <c r="E3" s="2"/>
      <c r="F3" s="2"/>
    </row>
    <row r="5" ht="30" customHeight="1" spans="2:6" x14ac:dyDescent="0.25">
      <c r="B5" s="13" t="s">
        <v>190</v>
      </c>
      <c r="C5" s="13" t="s">
        <v>191</v>
      </c>
      <c r="D5" s="13" t="s">
        <v>192</v>
      </c>
      <c r="E5" s="13" t="s">
        <v>193</v>
      </c>
      <c r="F5" s="13" t="s">
        <v>194</v>
      </c>
    </row>
    <row r="6" ht="22" customHeight="1" spans="2:6" x14ac:dyDescent="0.25">
      <c r="B6" s="15" t="s">
        <v>195</v>
      </c>
      <c r="C6" s="15" t="s">
        <v>196</v>
      </c>
      <c r="D6" s="15" t="s">
        <v>197</v>
      </c>
      <c r="E6" s="15" t="s">
        <v>198</v>
      </c>
      <c r="F6" s="15" t="s">
        <v>199</v>
      </c>
    </row>
    <row r="7" ht="22" customHeight="1" spans="2:6" x14ac:dyDescent="0.25">
      <c r="B7" s="15" t="s">
        <v>200</v>
      </c>
      <c r="C7" s="15">
        <f>ROUND('3_LICH_BAY_DONG_TIEN_MKT'!G33*0.8, 0)</f>
      </c>
      <c r="D7" s="15">
        <f>'3_LICH_BAY_DONG_TIEN_MKT'!G33</f>
      </c>
      <c r="E7" s="15">
        <f>ROUND('3_LICH_BAY_DONG_TIEN_MKT'!G33*1.1, 0)</f>
      </c>
      <c r="F7" s="15" t="s">
        <v>201</v>
      </c>
    </row>
    <row r="8" ht="22" customHeight="1" spans="2:6" x14ac:dyDescent="0.25">
      <c r="B8" s="15" t="s">
        <v>202</v>
      </c>
      <c r="C8" s="15">
        <v>8</v>
      </c>
      <c r="D8" s="15">
        <v>10</v>
      </c>
      <c r="E8" s="15">
        <v>12</v>
      </c>
      <c r="F8" s="15" t="s">
        <v>203</v>
      </c>
    </row>
    <row r="9" ht="22" customHeight="1" spans="2:6" x14ac:dyDescent="0.25">
      <c r="B9" s="15" t="s">
        <v>204</v>
      </c>
      <c r="C9" s="15">
        <f>C7*C8</f>
      </c>
      <c r="D9" s="15">
        <f>D7*D8</f>
      </c>
      <c r="E9" s="15">
        <f>E7*E8</f>
      </c>
      <c r="F9" s="15" t="s">
        <v>205</v>
      </c>
    </row>
    <row r="10" ht="22" customHeight="1" spans="2:6" x14ac:dyDescent="0.25">
      <c r="B10" s="15" t="s">
        <v>206</v>
      </c>
      <c r="C10" s="15" t="s">
        <v>207</v>
      </c>
      <c r="D10" s="15" t="s">
        <v>208</v>
      </c>
      <c r="E10" s="15" t="s">
        <v>208</v>
      </c>
      <c r="F10" s="15" t="s">
        <v>209</v>
      </c>
    </row>
    <row r="11" ht="22" customHeight="1" spans="2:6" x14ac:dyDescent="0.25">
      <c r="B11" s="15" t="s">
        <v>210</v>
      </c>
      <c r="C11" s="15" t="s">
        <v>211</v>
      </c>
      <c r="D11" s="15" t="s">
        <v>208</v>
      </c>
      <c r="E11" s="15" t="s">
        <v>212</v>
      </c>
      <c r="F11" s="15" t="s">
        <v>213</v>
      </c>
    </row>
    <row r="12" ht="22" customHeight="1" spans="2:6" x14ac:dyDescent="0.25">
      <c r="B12" s="33" t="s">
        <v>214</v>
      </c>
      <c r="C12" s="34">
        <f>C9*('2_PNL_SAN_PHAM'!K15/'2_PNL_SAN_PHAM'!G15)*0.98</f>
      </c>
      <c r="D12" s="34">
        <f>'2_PNL_SAN_PHAM'!K15</f>
      </c>
      <c r="E12" s="34">
        <f>E9*('2_PNL_SAN_PHAM'!K15/'2_PNL_SAN_PHAM'!G15)</f>
      </c>
      <c r="F12" s="15" t="s">
        <v>215</v>
      </c>
    </row>
    <row r="13" ht="22" customHeight="1" spans="2:6" x14ac:dyDescent="0.25">
      <c r="B13" s="15" t="s">
        <v>216</v>
      </c>
      <c r="C13" s="16">
        <f>C9*('2_PNL_SAN_PHAM'!L15/'2_PNL_SAN_PHAM'!G15)*1.03</f>
      </c>
      <c r="D13" s="16">
        <f>'2_PNL_SAN_PHAM'!L15</f>
      </c>
      <c r="E13" s="16">
        <f>E9*('2_PNL_SAN_PHAM'!L15/'2_PNL_SAN_PHAM'!G15)*0.98</f>
      </c>
      <c r="F13" s="15" t="s">
        <v>217</v>
      </c>
    </row>
    <row r="14" ht="22" customHeight="1" spans="2:6" x14ac:dyDescent="0.25">
      <c r="B14" s="33" t="s">
        <v>218</v>
      </c>
      <c r="C14" s="34">
        <f>C12-C13</f>
      </c>
      <c r="D14" s="34">
        <f>D12-D13</f>
      </c>
      <c r="E14" s="34">
        <f>E12-E13</f>
      </c>
      <c r="F14" s="15" t="s">
        <v>219</v>
      </c>
    </row>
    <row r="15" ht="22" customHeight="1" spans="2:6" x14ac:dyDescent="0.25">
      <c r="B15" s="33" t="s">
        <v>220</v>
      </c>
      <c r="C15" s="35">
        <f>IF(C12&gt;0, C14/C12, 0)</f>
      </c>
      <c r="D15" s="35">
        <f>IF(D12&gt;0, D14/D12, 0)</f>
      </c>
      <c r="E15" s="35">
        <f>IF(E12&gt;0, E14/E12, 0)</f>
      </c>
      <c r="F15" s="15" t="s">
        <v>221</v>
      </c>
    </row>
    <row r="16" ht="22" customHeight="1" spans="2:6" x14ac:dyDescent="0.25">
      <c r="B16" s="15" t="s">
        <v>222</v>
      </c>
      <c r="C16" s="16">
        <f>ROUND(C12*0.01, 0)</f>
      </c>
      <c r="D16" s="16">
        <f>ROUND(D12*0.01, 0)</f>
      </c>
      <c r="E16" s="16">
        <f>ROUND(E12*0.01, 0)</f>
      </c>
      <c r="F16" s="15" t="s">
        <v>223</v>
      </c>
    </row>
    <row r="17" ht="22" customHeight="1" spans="2:6" x14ac:dyDescent="0.25">
      <c r="B17" s="33" t="s">
        <v>224</v>
      </c>
      <c r="C17" s="34">
        <f>C14-C16</f>
      </c>
      <c r="D17" s="34">
        <f>D14-D16</f>
      </c>
      <c r="E17" s="34">
        <f>E14-E16</f>
      </c>
      <c r="F17" s="15" t="s">
        <v>225</v>
      </c>
    </row>
    <row r="19" ht="24" customHeight="1" spans="2:6" x14ac:dyDescent="0.25">
      <c r="B19" s="36" t="s">
        <v>226</v>
      </c>
      <c r="C19" s="36"/>
      <c r="D19" s="36"/>
      <c r="E19" s="36"/>
      <c r="F19" s="36"/>
    </row>
    <row r="20" ht="26" customHeight="1" spans="2:6" x14ac:dyDescent="0.25">
      <c r="B20" s="37" t="s">
        <v>227</v>
      </c>
      <c r="C20" s="38" t="s">
        <v>228</v>
      </c>
      <c r="D20" s="38"/>
      <c r="E20" s="38"/>
      <c r="F20" s="38"/>
    </row>
    <row r="21" ht="26" customHeight="1" spans="2:6" x14ac:dyDescent="0.25">
      <c r="B21" s="37" t="s">
        <v>229</v>
      </c>
      <c r="C21" s="38" t="s">
        <v>230</v>
      </c>
      <c r="D21" s="38"/>
      <c r="E21" s="38"/>
      <c r="F21" s="38"/>
    </row>
    <row r="22" ht="26" customHeight="1" spans="2:6" x14ac:dyDescent="0.25">
      <c r="B22" s="37" t="s">
        <v>231</v>
      </c>
      <c r="C22" s="38" t="s">
        <v>232</v>
      </c>
      <c r="D22" s="38"/>
      <c r="E22" s="38"/>
      <c r="F22" s="38"/>
    </row>
  </sheetData>
  <mergeCells count="6">
    <mergeCell ref="B2:F2"/>
    <mergeCell ref="B3:F3"/>
    <mergeCell ref="B19:F19"/>
    <mergeCell ref="C20:F20"/>
    <mergeCell ref="C21:F21"/>
    <mergeCell ref="C22:F2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1_THIET_LAP_BU</vt:lpstr>
      <vt:lpstr>2_PNL_SAN_PHAM</vt:lpstr>
      <vt:lpstr>3_LICH_BAY_DONG_TIEN_MKT</vt:lpstr>
      <vt:lpstr>4_KICH_BAN_KINH_DOANH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FIT TOUR Financial &amp; Marketing Planning System</dc:creator>
  <dc:title/>
  <dc:subject/>
  <dc:description/>
  <cp:keywords/>
  <cp:category/>
  <cp:lastModifiedBy>FIT TOUR ERP Core</cp:lastModifiedBy>
  <dcterms:created xsi:type="dcterms:W3CDTF">2026-10-26T03:51:08Z</dcterms:created>
  <dcterms:modified xsi:type="dcterms:W3CDTF">2026-10-26T03:51:08Z</dcterms:modified>
</cp:coreProperties>
</file>