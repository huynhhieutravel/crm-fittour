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_THIET_LAP_BU" state="visible" r:id="rId4"/>
    <sheet sheetId="2" name="2_PNL_SAN_PHAM" state="visible" r:id="rId5"/>
    <sheet sheetId="3" name="3_LICH_BAY_DONG_TIEN_MKT" state="visible" r:id="rId6"/>
    <sheet sheetId="4" name="4_KICH_BAN_KINH_DOANH" state="visible" r:id="rId7"/>
  </sheets>
  <calcPr calcId="171027"/>
</workbook>
</file>

<file path=xl/sharedStrings.xml><?xml version="1.0" encoding="utf-8"?>
<sst xmlns="http://schemas.openxmlformats.org/spreadsheetml/2006/main" count="177" uniqueCount="164">
  <si>
    <t>FIT TOUR — BẢN MẪU KẾ HOẠCH TÀI CHÍNH &amp; MARKETING 2027</t>
  </si>
  <si>
    <t>Chuẩn hóa quy trình lập kế hoạch sản phẩm, P&amp;L và ma trận dòng tiền Marketing cho 5 Business Units (BU1 - BU5)</t>
  </si>
  <si>
    <t>THÔNG TIN ĐƠN VỊ (METADATA)</t>
  </si>
  <si>
    <t/>
  </si>
  <si>
    <t>HƯỚNG DẪN THỰC HIỆN</t>
  </si>
  <si>
    <t>Business Unit (Mã đơn vị)</t>
  </si>
  <si>
    <t>BU1</t>
  </si>
  <si>
    <t>Chọn từ BU1 đến BU5</t>
  </si>
  <si>
    <t>Tên Đơn Vị / Thị Trường</t>
  </si>
  <si>
    <t>Thị trường Đông Bắc Á / Đông Nam Á / Khác</t>
  </si>
  <si>
    <t>Tên đầy đủ của BU</t>
  </si>
  <si>
    <t>Trưởng BU / Người Lập Kế Hoạch</t>
  </si>
  <si>
    <t>Điền họ tên Trưởng BU</t>
  </si>
  <si>
    <t>Chịu trách nhiệm số liệu</t>
  </si>
  <si>
    <t>Năm Kế Hoạch Tài Chính</t>
  </si>
  <si>
    <t>Năm triển khai kinh doanh chính thức</t>
  </si>
  <si>
    <t>Chu Kỳ Theo Dõi Dòng Tiền</t>
  </si>
  <si>
    <t>08/2026 - 10/2027 (15 Tháng)</t>
  </si>
  <si>
    <t>Gồm các tháng chuẩn bị lead-time cuối 2026</t>
  </si>
  <si>
    <t>Định Mức Ngân Sách Marketing FIT Tour</t>
  </si>
  <si>
    <t>Chuẩn công ty: 1.00% Doanh thu</t>
  </si>
  <si>
    <t>Chế Độ Phân Bổ Ngân Sách MKT</t>
  </si>
  <si>
    <t>Phân bổ đều theo Lead-time</t>
  </si>
  <si>
    <t>Tự động chia đều cho N tháng chạy trước</t>
  </si>
  <si>
    <t>Trạng Thái Phê Duyệt</t>
  </si>
  <si>
    <t>Kế hoạch đã trình duyệt</t>
  </si>
  <si>
    <t>Chờ duyệt / Đã duyệt / Dự thảo</t>
  </si>
  <si>
    <t>QUY TRÌNH 4 BƯỚC HOÀN THIỆN KẾ HOẠCH DÀNH CHO TRƯỞNG BU</t>
  </si>
  <si>
    <t>Bước 1 (Tab 2 - PRODUCT_PNL): Điền danh mục các tuyến tour dự kiến mở bán trong năm 2027. Nhập Giá bán, Giá vốn và Định phí dự kiến. Các cột Doanh thu, Lãi gộp, Biên LN và Điểm hòa vốn sẽ TỰ ĐỘNG TÍNH.</t>
  </si>
  <si>
    <t>Bước 2 (Tab 3 - DEPARTURE_CASHFLOW): Nhập lịch khởi hành chi tiết từng đoàn. Phân loại rõ: [Chính thức] (đoàn chốt bán) hoặc [Mở rộng / Dự phòng] (đoàn trần năng lực mở thêm khi nhu cầu cao).</t>
  </si>
  <si>
    <t>Bước 3 (Tab 3 - LEAD TIME): Điền số tháng chạy Marketing trước ngày khởi hành (Lead-time: 1-10 tháng). Công thức sẽ TỰ ĐỘNG DÀN NGÂN SÁCH MKT RA 15 THÁNG và TỰ ĐỘNG GOM THÀNH 5 QUÝ.</t>
  </si>
  <si>
    <t>Bước 4 (Tab 4 - SCENARIOS_SUMMARY): Xem bảng phân tích 3 Kịch bản (Thận trọng 80%, Cơ sở 100%, Tăng trưởng 110%) được tự động tính toán liên kết từ Tab 2 &amp; Tab 3 để trình Ban Giám Đốc phê duyệt.</t>
  </si>
  <si>
    <t>BẢNG ĐỊNH GIÁ &amp; P&amp;L SẢN PHẨM KẾ HOẠCH NĂM 2027</t>
  </si>
  <si>
    <t>Lưu ý: Các cột màu xanh lá là dữ liệu Trưởng BU nhập; các cột màu xám/xanh dương là CÔNG THỨC TỰ ĐỘNG TÍNH.</t>
  </si>
  <si>
    <t>STT</t>
  </si>
  <si>
    <t>Mã Tuyến</t>
  </si>
  <si>
    <t>Tên Sản Phẩm / Tuyến Tour</t>
  </si>
  <si>
    <t>Phân Loại Tuyến</t>
  </si>
  <si>
    <t>Số Đoàn (Trần P&amp;L)</t>
  </si>
  <si>
    <t>Khách / Đoàn</t>
  </si>
  <si>
    <t>Tổng Khách</t>
  </si>
  <si>
    <t>Giá Bán / Khách (VND)</t>
  </si>
  <si>
    <t>Chi Phí / Khách (VND)</t>
  </si>
  <si>
    <t>Định Phí Điều Hành / Đoàn (VND)</t>
  </si>
  <si>
    <t>Doanh Thu P&amp;L (VND)</t>
  </si>
  <si>
    <t>Tổng Chi Phí (VND)</t>
  </si>
  <si>
    <t>Lãi Gộp P&amp;L (VND)</t>
  </si>
  <si>
    <t>Biên LN Gộp (%)</t>
  </si>
  <si>
    <t>Điểm Hòa Vốn (Pax/Đoàn)</t>
  </si>
  <si>
    <t>Ghi Chú Chiến Lược</t>
  </si>
  <si>
    <t>tuyen_1</t>
  </si>
  <si>
    <t>Tuyến Tour Mẫu 1 (vd: Nhật Bản Mùa Hoa)</t>
  </si>
  <si>
    <t>Tuyến trụ cột</t>
  </si>
  <si>
    <t>Sản phẩm volume</t>
  </si>
  <si>
    <t>tuyen_2</t>
  </si>
  <si>
    <t>Tuyến Tour Mẫu 2 (vd: Hàn Quốc Thu)</t>
  </si>
  <si>
    <t>Tuyến mùa vụ</t>
  </si>
  <si>
    <t>Mùa thu lá đỏ</t>
  </si>
  <si>
    <t>tuyen_3</t>
  </si>
  <si>
    <t>Tuyến Tour Mẫu 3 (vd: Đài Loan)</t>
  </si>
  <si>
    <t>Tuyến phát triển</t>
  </si>
  <si>
    <t>Tuyến thị trường</t>
  </si>
  <si>
    <t>TỔNG</t>
  </si>
  <si>
    <t>TỔNG CỘNG DANH MỤC SẢN PHẨM (TRẦN P&amp;L)</t>
  </si>
  <si>
    <t>MA TRẬN LỊCH KHỞI HÀNH &amp; PHÂN BỔ DÒNG TIỀN MARKETING KẾ HOẠCH 2027</t>
  </si>
  <si>
    <t>THÔNG TIN VẬN HÀNH &amp; ĐỊNH MỨC</t>
  </si>
  <si>
    <t>MA TRẬN DÒNG TIỀN MARKETING THEO 15 THÁNG (GIẢI NGÂN TRƯỚC THEO LEAD TIME)</t>
  </si>
  <si>
    <t>GOM DÒNG TIỀN THEO 5 QUÝ (DỄ PHÂN TIỀN / DUYỆT NGÂN SÁCH)</t>
  </si>
  <si>
    <t>Phân Loại Đoàn</t>
  </si>
  <si>
    <t>Tên Đợt Khởi Hành</t>
  </si>
  <si>
    <t>Tháng Bay</t>
  </si>
  <si>
    <t>Thời Điểm</t>
  </si>
  <si>
    <t>Số Đoàn</t>
  </si>
  <si>
    <t>Pax / Đoàn</t>
  </si>
  <si>
    <t>Tổng Pax</t>
  </si>
  <si>
    <t>Giá Bán / Khách</t>
  </si>
  <si>
    <t>Doanh Thu Đoàn (VND)</t>
  </si>
  <si>
    <t>% MKT</t>
  </si>
  <si>
    <t>Ngân Sách MKT (VND)</t>
  </si>
  <si>
    <t>Lead Time (T)</t>
  </si>
  <si>
    <t>Tháng Bắt Đầu</t>
  </si>
  <si>
    <t>T08/26</t>
  </si>
  <si>
    <t>T09/26</t>
  </si>
  <si>
    <t>T10/26</t>
  </si>
  <si>
    <t>T11/26</t>
  </si>
  <si>
    <t>T12/26</t>
  </si>
  <si>
    <t>T01/27</t>
  </si>
  <si>
    <t>T02/27</t>
  </si>
  <si>
    <t>T03/27</t>
  </si>
  <si>
    <t>T04/27</t>
  </si>
  <si>
    <t>T05/27</t>
  </si>
  <si>
    <t>T06/27</t>
  </si>
  <si>
    <t>T07/27</t>
  </si>
  <si>
    <t>T08/27</t>
  </si>
  <si>
    <t>T09/27</t>
  </si>
  <si>
    <t>T10/27</t>
  </si>
  <si>
    <t>Q4/2026</t>
  </si>
  <si>
    <t>Q1/2027</t>
  </si>
  <si>
    <t>Q2/2027</t>
  </si>
  <si>
    <t>Q3/2027</t>
  </si>
  <si>
    <t>Q4/2027</t>
  </si>
  <si>
    <t>Chính thức</t>
  </si>
  <si>
    <t>Đoàn Nhật Bản Mùa Hoa T3/2027</t>
  </si>
  <si>
    <t>2027-03</t>
  </si>
  <si>
    <t>03/2027</t>
  </si>
  <si>
    <t>3 tháng trước</t>
  </si>
  <si>
    <t>Đoàn Nhật Bản Dịp Lễ 30/4/2027</t>
  </si>
  <si>
    <t>2027-04</t>
  </si>
  <si>
    <t>04/2027</t>
  </si>
  <si>
    <t>Đoàn Hàn Quốc Mùa Thu T10/2027</t>
  </si>
  <si>
    <t>2027-10</t>
  </si>
  <si>
    <t>10/2027</t>
  </si>
  <si>
    <t>Mở rộng / Dự phòng</t>
  </si>
  <si>
    <t>Đoàn Nhật Bản Mở Rộng Dịp Tết</t>
  </si>
  <si>
    <t>2027-02</t>
  </si>
  <si>
    <t>02/2027</t>
  </si>
  <si>
    <t>TỔNG ĐOÀN CHÍNH THỨC</t>
  </si>
  <si>
    <t>TỔNG ĐOÀN MỞ RỘNG</t>
  </si>
  <si>
    <t>TỔNG TOÀN BỘ KẾ HOẠCH (TRẦN P&amp;L)</t>
  </si>
  <si>
    <t>BẢNG PHÂN TÍCH 3 KỊCH BẢN KINH DOANH BU KẾ HOẠCH 2027</t>
  </si>
  <si>
    <t>Tự động tính toán theo công thức liên kết từ Tab 2 (P&amp;L) và Tab 3 (Lịch Khởi Hành). Không cần nhập tay.</t>
  </si>
  <si>
    <t>CHỈ TIÊU TÀI CHÍNH / VẬN HÀNH</t>
  </si>
  <si>
    <t>THẬN TRỌNG (80%)</t>
  </si>
  <si>
    <t>CƠ SỞ (100% DUYỆT)</t>
  </si>
  <si>
    <t>TĂNG TRƯỞNG (110%)</t>
  </si>
  <si>
    <t>ĐỊNH HƯỚNG CHIẾN LƯỢC &amp; HÀNH ĐỘNG</t>
  </si>
  <si>
    <t>Tỷ lệ hoàn thành mục tiêu</t>
  </si>
  <si>
    <t>80%</t>
  </si>
  <si>
    <t>100%</t>
  </si>
  <si>
    <t>110%</t>
  </si>
  <si>
    <t>Mức độ hấp thụ thị trường</t>
  </si>
  <si>
    <t>Số đoàn khởi hành</t>
  </si>
  <si>
    <t>Đoàn vận hành thực tế</t>
  </si>
  <si>
    <t>Số khách bình quân / đoàn</t>
  </si>
  <si>
    <t>Sĩ số khách trung bình</t>
  </si>
  <si>
    <t>Tổng số lượt khách (Pax)</t>
  </si>
  <si>
    <t>Quy mô khách phục vụ</t>
  </si>
  <si>
    <t>Hệ số điều chỉnh giá bán</t>
  </si>
  <si>
    <t>0.98x (Giảm giá nhẹ)</t>
  </si>
  <si>
    <t>1.00x (Chuẩn)</t>
  </si>
  <si>
    <t>Chiết khấu kích cầu khi thị trường chậm</t>
  </si>
  <si>
    <t>Hệ số chi phí trực tiếp</t>
  </si>
  <si>
    <t>1.03x (Tăng do đoàn nhỏ)</t>
  </si>
  <si>
    <t>0.98x (Tối ưu volume)</t>
  </si>
  <si>
    <t>Quy mô kinh tế (Economies of Scale)</t>
  </si>
  <si>
    <t>Doanh thu kế hoạch (VND)</t>
  </si>
  <si>
    <t>Tổng doanh thu ghi nhận</t>
  </si>
  <si>
    <t>Tổng chi phí trực tiếp (VND)</t>
  </si>
  <si>
    <t>Giá vốn landtour, vé máy bay &amp; visa</t>
  </si>
  <si>
    <t>Lợi nhuận gộp P&amp;L (VND)</t>
  </si>
  <si>
    <t>Thặng dư vận hành trước Marketing</t>
  </si>
  <si>
    <t>Biên Lợi Nhuận Gộp (%)</t>
  </si>
  <si>
    <t>Tỷ suất lợi nhuận gộp</t>
  </si>
  <si>
    <t>Ngân sách Marketing 1% (VND)</t>
  </si>
  <si>
    <t>Quỹ xúc tiến khách hàng mới (1% DT)</t>
  </si>
  <si>
    <t>Lãi đóng góp sau MKT (VND)</t>
  </si>
  <si>
    <t>Lợi nhuận đóng góp vào chi phí bộ máy</t>
  </si>
  <si>
    <t>KẾ HOẠCH HÀNH ĐỘNG CỤ THỂ THEO TỪNG KỊCH BẢN:</t>
  </si>
  <si>
    <t>Kịch bản Thận trọng (80%)</t>
  </si>
  <si>
    <t>Ưu tiên tối đa các tuyến trụ cột có biên an toàn cao; tạm dừng mở bán tuyến mới nếu chưa đạt điểm hòa vốn 6 pax trước 45 ngày.</t>
  </si>
  <si>
    <t>Kịch bản Cơ sở (100%)</t>
  </si>
  <si>
    <t>Kế hoạch mục tiêu chính thức trình BOD phê duyệt. Phân bổ ngân sách Marketing theo đúng tiến độ 5 quý; mở bán đúng 10 khách/đoàn.</t>
  </si>
  <si>
    <t>Kịch bản Tăng trưởng (110%)</t>
  </si>
  <si>
    <t>Kích hoạt cả 3 đoàn dự phòng mở rộng và tăng chỉ tiêu sĩ số lên 12 pax/đoàn khi waitlist ghi nhận nhu cầu bùng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</si>
</sst>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 &quot;đ&quot;"/>
  </numFmts>
  <fonts count="19" x14ac:knownFonts="1">
    <font>
      <color theme="1"/>
      <family val="2"/>
      <scheme val="minor"/>
      <sz val="11"/>
      <name val="Calibri"/>
    </font>
    <font>
      <b/>
      <color rgb="FFFFFFFF"/>
      <sz val="14"/>
      <name val="Arial"/>
    </font>
    <font>
      <i/>
      <color rgb="FF64748B"/>
      <sz val="10"/>
      <name val="Arial"/>
    </font>
    <font>
      <b/>
      <color rgb="FFFFFFFF"/>
      <sz val="11"/>
      <name val="Arial"/>
    </font>
    <font>
      <b/>
      <color rgb="FF334155"/>
      <sz val="10"/>
      <name val="Arial"/>
    </font>
    <font>
      <color rgb="FF0F172A"/>
      <sz val="10"/>
      <name val="Arial"/>
    </font>
    <font>
      <i/>
      <color rgb="FF64748B"/>
      <sz val="9"/>
      <name val="Arial"/>
    </font>
    <font>
      <color rgb="FF1E293B"/>
      <sz val="9.5"/>
      <name val="Arial"/>
    </font>
    <font>
      <b/>
      <color rgb="FFFFFFFF"/>
      <sz val="13"/>
      <name val="Arial"/>
    </font>
    <font>
      <i/>
      <color rgb="FF64748B"/>
      <sz val="9.5"/>
      <name val="Arial"/>
    </font>
    <font>
      <sz val="9.5"/>
      <name val="Arial"/>
    </font>
    <font>
      <b/>
      <color rgb="FF0F172A"/>
      <sz val="10"/>
      <name val="Arial"/>
    </font>
    <font>
      <b/>
      <color rgb="FFFFFFFF"/>
      <sz val="10"/>
      <name val="Arial"/>
    </font>
    <font>
      <sz val="9"/>
      <name val="Arial"/>
    </font>
    <font>
      <b/>
      <color rgb="FF0369A1"/>
      <sz val="9.5"/>
      <name val="Arial"/>
    </font>
    <font>
      <b/>
      <color rgb="FF92400E"/>
      <sz val="9.5"/>
      <name val="Arial"/>
    </font>
    <font>
      <b/>
      <sz val="9.5"/>
      <name val="Arial"/>
    </font>
    <font>
      <b/>
      <color rgb="FF0F172A"/>
      <sz val="9.5"/>
      <name val="Arial"/>
    </font>
    <font>
      <i/>
      <color rgb="FF334155"/>
      <sz val="9"/>
      <name val="Arial"/>
    </font>
  </fonts>
  <fills count="10">
    <fill>
      <patternFill patternType="none"/>
    </fill>
    <fill>
      <patternFill patternType="gray125"/>
    </fill>
    <fill>
      <patternFill patternType="solid">
        <fgColor rgb="FF0F172A"/>
      </patternFill>
    </fill>
    <fill>
      <patternFill patternType="solid">
        <fgColor rgb="FF0284C7"/>
      </patternFill>
    </fill>
    <fill>
      <patternFill patternType="solid">
        <fgColor rgb="FF15803D"/>
      </patternFill>
    </fill>
    <fill>
      <patternFill patternType="solid">
        <fgColor rgb="FFF1F5F9"/>
      </patternFill>
    </fill>
    <fill>
      <patternFill patternType="solid">
        <fgColor rgb="FF6B21A8"/>
      </patternFill>
    </fill>
    <fill>
      <patternFill patternType="solid">
        <fgColor rgb="FFE0F2FE"/>
      </patternFill>
    </fill>
    <fill>
      <patternFill patternType="solid">
        <fgColor rgb="FFFEF3C7"/>
      </patternFill>
    </fill>
    <fill>
      <patternFill patternType="solid">
        <fgColor rgb="FFE2E8F0"/>
      </patternFill>
    </fill>
  </fills>
  <borders count="3">
    <border>
      <left/>
      <right/>
      <top/>
      <bottom/>
      <diagonal/>
    </border>
    <border>
      <left style="thin">
        <color rgb="FFE2E8F0"/>
      </left>
      <right style="thin">
        <color rgb="FFE2E8F0"/>
      </right>
      <top style="thin">
        <color rgb="FFE2E8F0"/>
      </top>
      <bottom style="thin">
        <color rgb="FFE2E8F0"/>
      </bottom>
      <diagonal/>
    </border>
    <border>
      <left/>
      <right/>
      <top style="thin">
        <color rgb="FF94A3B8"/>
      </top>
      <bottom style="double">
        <color rgb="FF0F172A"/>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xf numFmtId="0" fontId="0" fillId="3" borderId="0" xfId="0" applyFill="1"/>
    <xf numFmtId="0" fontId="4" fillId="0" borderId="1" xfId="0" applyFont="1" applyBorder="1"/>
    <xf numFmtId="0" fontId="5" fillId="0" borderId="1" xfId="0" applyFont="1" applyBorder="1"/>
    <xf numFmtId="0" fontId="6" fillId="0" borderId="1" xfId="0" applyFont="1" applyBorder="1"/>
    <xf numFmtId="164" fontId="5" fillId="0" borderId="1" xfId="0" applyNumberFormat="1" applyFont="1" applyBorder="1"/>
    <xf numFmtId="0" fontId="3" fillId="4" borderId="0" xfId="0" applyFont="1" applyFill="1"/>
    <xf numFmtId="0" fontId="7" fillId="0" borderId="1" xfId="0" applyFont="1" applyBorder="1" applyAlignment="1">
      <alignment vertical="center" wrapText="1"/>
    </xf>
    <xf numFmtId="0" fontId="8" fillId="2" borderId="0" xfId="0" applyFont="1" applyFill="1" applyAlignment="1">
      <alignment horizontal="center" vertical="center"/>
    </xf>
    <xf numFmtId="0" fontId="9" fillId="0" borderId="0" xfId="0" applyFont="1" applyAlignment="1">
      <alignment horizontal="center" vertical="center"/>
    </xf>
    <xf numFmtId="0" fontId="3" fillId="2" borderId="0" xfId="0" applyFont="1" applyFill="1" applyAlignment="1">
      <alignment horizontal="center" vertical="center" wrapText="1"/>
    </xf>
    <xf numFmtId="0" fontId="10" fillId="0" borderId="1" xfId="0" applyFont="1" applyBorder="1" applyAlignment="1">
      <alignment horizontal="center" vertical="center"/>
    </xf>
    <xf numFmtId="0" fontId="10" fillId="0" borderId="1" xfId="0" applyFont="1" applyBorder="1"/>
    <xf numFmtId="165" fontId="10" fillId="0" borderId="1" xfId="0" applyNumberFormat="1" applyFont="1" applyBorder="1"/>
    <xf numFmtId="164" fontId="10" fillId="0" borderId="1" xfId="0" applyNumberFormat="1" applyFont="1" applyBorder="1"/>
    <xf numFmtId="3" fontId="10" fillId="0" borderId="1" xfId="0" applyNumberFormat="1" applyFont="1" applyBorder="1" applyAlignment="1">
      <alignment horizontal="center" vertical="center"/>
    </xf>
    <xf numFmtId="0" fontId="11" fillId="5" borderId="2" xfId="0" applyFont="1" applyFill="1" applyBorder="1"/>
    <xf numFmtId="165" fontId="11" fillId="5" borderId="2" xfId="0" applyNumberFormat="1" applyFont="1" applyFill="1" applyBorder="1"/>
    <xf numFmtId="164" fontId="11" fillId="5" borderId="2" xfId="0" applyNumberFormat="1" applyFont="1" applyFill="1" applyBorder="1"/>
    <xf numFmtId="0" fontId="12" fillId="3" borderId="0" xfId="0" applyFont="1" applyFill="1" applyAlignment="1">
      <alignment horizontal="center" vertical="center" wrapText="1"/>
    </xf>
    <xf numFmtId="0" fontId="12" fillId="4" borderId="0" xfId="0" applyFont="1" applyFill="1" applyAlignment="1">
      <alignment horizontal="center" vertical="center" wrapText="1"/>
    </xf>
    <xf numFmtId="0" fontId="12" fillId="6" borderId="0" xfId="0" applyFont="1" applyFill="1" applyAlignment="1">
      <alignment horizontal="center" vertical="center" wrapText="1"/>
    </xf>
    <xf numFmtId="0" fontId="13" fillId="0" borderId="1" xfId="0" applyFont="1" applyBorder="1" applyAlignment="1">
      <alignment horizontal="center" vertical="center"/>
    </xf>
    <xf numFmtId="0" fontId="13" fillId="0" borderId="1" xfId="0" applyFont="1" applyBorder="1"/>
    <xf numFmtId="165" fontId="13" fillId="0" borderId="1" xfId="0" applyNumberFormat="1" applyFont="1" applyBorder="1"/>
    <xf numFmtId="164" fontId="13" fillId="0" borderId="1" xfId="0" applyNumberFormat="1" applyFont="1" applyBorder="1" applyAlignment="1">
      <alignment horizontal="center" vertical="center"/>
    </xf>
    <xf numFmtId="0" fontId="14" fillId="7" borderId="1" xfId="0" applyFont="1" applyFill="1" applyBorder="1"/>
    <xf numFmtId="165" fontId="14" fillId="7" borderId="1" xfId="0" applyNumberFormat="1" applyFont="1" applyFill="1" applyBorder="1"/>
    <xf numFmtId="0" fontId="15" fillId="8" borderId="1" xfId="0" applyFont="1" applyFill="1" applyBorder="1"/>
    <xf numFmtId="165" fontId="15" fillId="8" borderId="1" xfId="0" applyNumberFormat="1" applyFont="1" applyFill="1" applyBorder="1"/>
    <xf numFmtId="0" fontId="16" fillId="0" borderId="1" xfId="0" applyFont="1" applyBorder="1"/>
    <xf numFmtId="165" fontId="16" fillId="0" borderId="1" xfId="0" applyNumberFormat="1" applyFont="1" applyBorder="1"/>
    <xf numFmtId="164" fontId="16" fillId="0" borderId="1" xfId="0" applyNumberFormat="1" applyFont="1" applyBorder="1"/>
    <xf numFmtId="0" fontId="11" fillId="9" borderId="0" xfId="0" applyFont="1" applyFill="1"/>
    <xf numFmtId="0" fontId="17" fillId="0" borderId="1" xfId="0" applyFont="1" applyBorder="1"/>
    <xf numFmtId="0" fontId="18"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0"/>
  <sheetViews>
    <sheetView workbookViewId="0"/>
  </sheetViews>
  <sheetFormatPr defaultRowHeight="15" outlineLevelRow="0" outlineLevelCol="0" x14ac:dyDescent="55"/>
  <cols>
    <col min="1" max="1" width="5" customWidth="1"/>
    <col min="2" max="2" width="32" customWidth="1"/>
    <col min="3" max="3" width="45" customWidth="1"/>
    <col min="4" max="4" width="50" customWidth="1"/>
    <col min="5" max="5" width="5" customWidth="1"/>
  </cols>
  <sheetData>
    <row r="2" ht="36" customHeight="1" spans="2:4" x14ac:dyDescent="0.25">
      <c r="B2" s="1" t="s">
        <v>0</v>
      </c>
      <c r="C2" s="1"/>
      <c r="D2" s="1"/>
    </row>
    <row r="3" ht="20" customHeight="1" spans="2:4" x14ac:dyDescent="0.25">
      <c r="B3" s="2" t="s">
        <v>1</v>
      </c>
      <c r="C3" s="2"/>
      <c r="D3" s="2"/>
    </row>
    <row r="5" ht="24" customHeight="1" spans="2:4" x14ac:dyDescent="0.25">
      <c r="B5" s="3" t="s">
        <v>2</v>
      </c>
      <c r="C5" s="4" t="s">
        <v>3</v>
      </c>
      <c r="D5" s="3" t="s">
        <v>4</v>
      </c>
    </row>
    <row r="6" ht="24" customHeight="1" spans="2:4" x14ac:dyDescent="0.25">
      <c r="B6" s="5" t="s">
        <v>5</v>
      </c>
      <c r="C6" s="6" t="s">
        <v>6</v>
      </c>
      <c r="D6" s="7" t="s">
        <v>7</v>
      </c>
    </row>
    <row r="7" ht="24" customHeight="1" spans="2:4" x14ac:dyDescent="0.25">
      <c r="B7" s="5" t="s">
        <v>8</v>
      </c>
      <c r="C7" s="6" t="s">
        <v>9</v>
      </c>
      <c r="D7" s="7" t="s">
        <v>10</v>
      </c>
    </row>
    <row r="8" ht="24" customHeight="1" spans="2:4" x14ac:dyDescent="0.25">
      <c r="B8" s="5" t="s">
        <v>11</v>
      </c>
      <c r="C8" s="6" t="s">
        <v>12</v>
      </c>
      <c r="D8" s="7" t="s">
        <v>13</v>
      </c>
    </row>
    <row r="9" ht="24" customHeight="1" spans="2:4" x14ac:dyDescent="0.25">
      <c r="B9" s="5" t="s">
        <v>14</v>
      </c>
      <c r="C9" s="6">
        <v>2027</v>
      </c>
      <c r="D9" s="7" t="s">
        <v>15</v>
      </c>
    </row>
    <row r="10" ht="24" customHeight="1" spans="2:4" x14ac:dyDescent="0.25">
      <c r="B10" s="5" t="s">
        <v>16</v>
      </c>
      <c r="C10" s="6" t="s">
        <v>17</v>
      </c>
      <c r="D10" s="7" t="s">
        <v>18</v>
      </c>
    </row>
    <row r="11" ht="24" customHeight="1" spans="2:4" x14ac:dyDescent="0.25">
      <c r="B11" s="5" t="s">
        <v>19</v>
      </c>
      <c r="C11" s="8">
        <v>0.01</v>
      </c>
      <c r="D11" s="7" t="s">
        <v>20</v>
      </c>
    </row>
    <row r="12" ht="24" customHeight="1" spans="2:4" x14ac:dyDescent="0.25">
      <c r="B12" s="5" t="s">
        <v>21</v>
      </c>
      <c r="C12" s="6" t="s">
        <v>22</v>
      </c>
      <c r="D12" s="7" t="s">
        <v>23</v>
      </c>
    </row>
    <row r="13" ht="24" customHeight="1" spans="2:4" x14ac:dyDescent="0.25">
      <c r="B13" s="5" t="s">
        <v>24</v>
      </c>
      <c r="C13" s="6" t="s">
        <v>25</v>
      </c>
      <c r="D13" s="7" t="s">
        <v>26</v>
      </c>
    </row>
    <row r="16" ht="26" customHeight="1" spans="2:4" x14ac:dyDescent="0.25">
      <c r="B16" s="9" t="s">
        <v>27</v>
      </c>
      <c r="C16" s="9"/>
      <c r="D16" s="9"/>
    </row>
    <row r="17" ht="36" customHeight="1" spans="2:4" x14ac:dyDescent="0.25">
      <c r="B17" s="10" t="s">
        <v>28</v>
      </c>
      <c r="C17" s="10"/>
      <c r="D17" s="10"/>
    </row>
    <row r="18" ht="36" customHeight="1" spans="2:4" x14ac:dyDescent="0.25">
      <c r="B18" s="10" t="s">
        <v>29</v>
      </c>
      <c r="C18" s="10"/>
      <c r="D18" s="10"/>
    </row>
    <row r="19" ht="36" customHeight="1" spans="2:4" x14ac:dyDescent="0.25">
      <c r="B19" s="10" t="s">
        <v>30</v>
      </c>
      <c r="C19" s="10"/>
      <c r="D19" s="10"/>
    </row>
    <row r="20" ht="36" customHeight="1" spans="2:4" x14ac:dyDescent="0.25">
      <c r="B20" s="10" t="s">
        <v>31</v>
      </c>
      <c r="C20" s="10"/>
      <c r="D20" s="10"/>
    </row>
  </sheetData>
  <mergeCells count="7">
    <mergeCell ref="B2:D2"/>
    <mergeCell ref="B3:D3"/>
    <mergeCell ref="B16:D16"/>
    <mergeCell ref="B17:D17"/>
    <mergeCell ref="B18:D18"/>
    <mergeCell ref="B19:D19"/>
    <mergeCell ref="B20:D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xSplit="3" ySplit="3" topLeftCell="D4" activePane="bottomRight" state="frozen"/>
      <selection pane="bottomRight"/>
    </sheetView>
  </sheetViews>
  <sheetFormatPr defaultRowHeight="15" outlineLevelRow="0" outlineLevelCol="0" x14ac:dyDescent="55"/>
  <cols>
    <col min="1" max="1" width="6" customWidth="1"/>
    <col min="2" max="2" width="14" customWidth="1"/>
    <col min="3" max="3" width="28" customWidth="1"/>
    <col min="4" max="4" width="18" customWidth="1"/>
    <col min="5" max="7" width="12" customWidth="1"/>
    <col min="8" max="10" width="16" customWidth="1"/>
    <col min="11" max="13" width="18" customWidth="1"/>
    <col min="14" max="14" width="14" customWidth="1"/>
    <col min="15" max="15" width="15" customWidth="1"/>
    <col min="16" max="16" width="35" customWidth="1"/>
  </cols>
  <sheetData>
    <row r="1" ht="30" customHeight="1" spans="1:16" x14ac:dyDescent="0.25">
      <c r="A1" s="11" t="s">
        <v>32</v>
      </c>
      <c r="B1" s="11"/>
      <c r="C1" s="11"/>
      <c r="D1" s="11"/>
      <c r="E1" s="11"/>
      <c r="F1" s="11"/>
      <c r="G1" s="11"/>
      <c r="H1" s="11"/>
      <c r="I1" s="11"/>
      <c r="J1" s="11"/>
      <c r="K1" s="11"/>
      <c r="L1" s="11"/>
      <c r="M1" s="11"/>
      <c r="N1" s="11"/>
      <c r="O1" s="11"/>
      <c r="P1" s="11"/>
    </row>
    <row r="2" ht="18" customHeight="1" spans="1:16" x14ac:dyDescent="0.25">
      <c r="A2" s="12" t="s">
        <v>33</v>
      </c>
      <c r="B2" s="12"/>
      <c r="C2" s="12"/>
      <c r="D2" s="12"/>
      <c r="E2" s="12"/>
      <c r="F2" s="12"/>
      <c r="G2" s="12"/>
      <c r="H2" s="12"/>
      <c r="I2" s="12"/>
      <c r="J2" s="12"/>
      <c r="K2" s="12"/>
      <c r="L2" s="12"/>
      <c r="M2" s="12"/>
      <c r="N2" s="12"/>
      <c r="O2" s="12"/>
      <c r="P2" s="12"/>
    </row>
    <row r="3" ht="32" customHeight="1" spans="1:16" x14ac:dyDescent="0.25">
      <c r="A3" s="13" t="s">
        <v>34</v>
      </c>
      <c r="B3" s="13" t="s">
        <v>35</v>
      </c>
      <c r="C3" s="13" t="s">
        <v>36</v>
      </c>
      <c r="D3" s="13" t="s">
        <v>37</v>
      </c>
      <c r="E3" s="13" t="s">
        <v>38</v>
      </c>
      <c r="F3" s="13" t="s">
        <v>39</v>
      </c>
      <c r="G3" s="13" t="s">
        <v>40</v>
      </c>
      <c r="H3" s="13" t="s">
        <v>41</v>
      </c>
      <c r="I3" s="13" t="s">
        <v>42</v>
      </c>
      <c r="J3" s="13" t="s">
        <v>43</v>
      </c>
      <c r="K3" s="13" t="s">
        <v>44</v>
      </c>
      <c r="L3" s="13" t="s">
        <v>45</v>
      </c>
      <c r="M3" s="13" t="s">
        <v>46</v>
      </c>
      <c r="N3" s="13" t="s">
        <v>47</v>
      </c>
      <c r="O3" s="13" t="s">
        <v>48</v>
      </c>
      <c r="P3" s="13" t="s">
        <v>49</v>
      </c>
    </row>
    <row r="4" ht="22" customHeight="1" spans="1:16" x14ac:dyDescent="0.25">
      <c r="A4" s="14">
        <v>1</v>
      </c>
      <c r="B4" s="14" t="s">
        <v>50</v>
      </c>
      <c r="C4" s="15" t="s">
        <v>51</v>
      </c>
      <c r="D4" s="14" t="s">
        <v>52</v>
      </c>
      <c r="E4" s="14">
        <v>5</v>
      </c>
      <c r="F4" s="14">
        <v>15</v>
      </c>
      <c r="G4" s="14">
        <f>E4*F4</f>
      </c>
      <c r="H4" s="16">
        <v>35900000</v>
      </c>
      <c r="I4" s="16">
        <v>30500000</v>
      </c>
      <c r="J4" s="16">
        <v>20000000</v>
      </c>
      <c r="K4" s="16">
        <f>G4*H4</f>
      </c>
      <c r="L4" s="16">
        <f>G4*I4</f>
      </c>
      <c r="M4" s="16">
        <f>K4-L4</f>
      </c>
      <c r="N4" s="17">
        <f>IF(K4&gt;0, M4/K4, 0)</f>
      </c>
      <c r="O4" s="18">
        <f>IF((H4-I4)&gt;0, ROUNDUP(J4/(H4-I4), 0), F4)</f>
      </c>
      <c r="P4" s="15" t="s">
        <v>53</v>
      </c>
    </row>
    <row r="5" ht="22" customHeight="1" spans="1:16" x14ac:dyDescent="0.25">
      <c r="A5" s="14">
        <v>2</v>
      </c>
      <c r="B5" s="14" t="s">
        <v>54</v>
      </c>
      <c r="C5" s="15" t="s">
        <v>55</v>
      </c>
      <c r="D5" s="14" t="s">
        <v>56</v>
      </c>
      <c r="E5" s="14">
        <v>4</v>
      </c>
      <c r="F5" s="14">
        <v>15</v>
      </c>
      <c r="G5" s="14">
        <f>E5*F5</f>
      </c>
      <c r="H5" s="16">
        <v>18900000</v>
      </c>
      <c r="I5" s="16">
        <v>16000000</v>
      </c>
      <c r="J5" s="16">
        <v>15000000</v>
      </c>
      <c r="K5" s="16">
        <f>G5*H5</f>
      </c>
      <c r="L5" s="16">
        <f>G5*I5</f>
      </c>
      <c r="M5" s="16">
        <f>K5-L5</f>
      </c>
      <c r="N5" s="17">
        <f>IF(K5&gt;0, M5/K5, 0)</f>
      </c>
      <c r="O5" s="18">
        <f>IF((H5-I5)&gt;0, ROUNDUP(J5/(H5-I5), 0), F5)</f>
      </c>
      <c r="P5" s="15" t="s">
        <v>57</v>
      </c>
    </row>
    <row r="6" ht="22" customHeight="1" spans="1:16" x14ac:dyDescent="0.25">
      <c r="A6" s="14">
        <v>3</v>
      </c>
      <c r="B6" s="14" t="s">
        <v>58</v>
      </c>
      <c r="C6" s="15" t="s">
        <v>59</v>
      </c>
      <c r="D6" s="14" t="s">
        <v>60</v>
      </c>
      <c r="E6" s="14">
        <v>6</v>
      </c>
      <c r="F6" s="14">
        <v>20</v>
      </c>
      <c r="G6" s="14">
        <f>E6*F6</f>
      </c>
      <c r="H6" s="16">
        <v>14900000</v>
      </c>
      <c r="I6" s="16">
        <v>12500000</v>
      </c>
      <c r="J6" s="16">
        <v>12000000</v>
      </c>
      <c r="K6" s="16">
        <f>G6*H6</f>
      </c>
      <c r="L6" s="16">
        <f>G6*I6</f>
      </c>
      <c r="M6" s="16">
        <f>K6-L6</f>
      </c>
      <c r="N6" s="17">
        <f>IF(K6&gt;0, M6/K6, 0)</f>
      </c>
      <c r="O6" s="18">
        <f>IF((H6-I6)&gt;0, ROUNDUP(J6/(H6-I6), 0), F6)</f>
      </c>
      <c r="P6" s="15" t="s">
        <v>61</v>
      </c>
    </row>
    <row r="7" ht="28" customHeight="1" spans="1:16" x14ac:dyDescent="0.25">
      <c r="A7" s="19" t="s">
        <v>62</v>
      </c>
      <c r="B7" s="19"/>
      <c r="C7" s="19" t="s">
        <v>63</v>
      </c>
      <c r="D7" s="19"/>
      <c r="E7" s="19">
        <f>SUM(E4:E6)</f>
      </c>
      <c r="F7" s="19"/>
      <c r="G7" s="19">
        <f>SUM(G4:G6)</f>
      </c>
      <c r="H7" s="19"/>
      <c r="I7" s="19"/>
      <c r="J7" s="19"/>
      <c r="K7" s="20">
        <f>SUM(K4:K6)</f>
      </c>
      <c r="L7" s="20">
        <f>SUM(L4:L6)</f>
      </c>
      <c r="M7" s="20">
        <f>SUM(M4:M6)</f>
      </c>
      <c r="N7" s="21">
        <f>IF(K7&gt;0, M7/K7, 0)</f>
      </c>
      <c r="O7" s="19"/>
      <c r="P7" s="19"/>
    </row>
  </sheetData>
  <mergeCells count="2">
    <mergeCell ref="A1:P1"/>
    <mergeCell ref="A2:P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pane xSplit="4" ySplit="3" topLeftCell="E4" activePane="bottomRight" state="frozen"/>
      <selection pane="bottomRight"/>
    </sheetView>
  </sheetViews>
  <sheetFormatPr defaultRowHeight="15" outlineLevelRow="0" outlineLevelCol="0" x14ac:dyDescent="55"/>
  <cols>
    <col min="1" max="1" width="5" customWidth="1"/>
    <col min="2" max="2" width="18" customWidth="1"/>
    <col min="3" max="3" width="14" customWidth="1"/>
    <col min="4" max="4" width="28" customWidth="1"/>
    <col min="5" max="6" width="14" customWidth="1"/>
    <col min="9" max="9" width="11" customWidth="1"/>
    <col min="10" max="10" width="16" customWidth="1"/>
    <col min="11" max="11" width="18" customWidth="1"/>
    <col min="12" max="12" width="10" customWidth="1"/>
    <col min="13" max="13" width="16" customWidth="1"/>
    <col min="14" max="14" width="11" customWidth="1"/>
    <col min="15" max="30" width="14" customWidth="1"/>
    <col min="31" max="35" width="16" customWidth="1"/>
  </cols>
  <sheetData>
    <row r="1" ht="30" customHeight="1" spans="1:35" x14ac:dyDescent="0.25">
      <c r="A1" s="11" t="s">
        <v>64</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20" customHeight="1" spans="1:35" x14ac:dyDescent="0.25">
      <c r="A2" s="22" t="s">
        <v>65</v>
      </c>
      <c r="B2"/>
      <c r="C2"/>
      <c r="D2"/>
      <c r="E2"/>
      <c r="F2"/>
      <c r="G2"/>
      <c r="H2"/>
      <c r="I2"/>
      <c r="J2"/>
      <c r="K2"/>
      <c r="L2"/>
      <c r="M2"/>
      <c r="N2"/>
      <c r="O2"/>
      <c r="P2" s="23" t="s">
        <v>66</v>
      </c>
      <c r="Q2"/>
      <c r="R2"/>
      <c r="S2"/>
      <c r="T2"/>
      <c r="U2"/>
      <c r="V2"/>
      <c r="W2"/>
      <c r="X2"/>
      <c r="Y2"/>
      <c r="Z2"/>
      <c r="AA2"/>
      <c r="AB2"/>
      <c r="AC2"/>
      <c r="AD2"/>
      <c r="AE2" s="24" t="s">
        <v>67</v>
      </c>
      <c r="AF2"/>
      <c r="AG2"/>
      <c r="AH2"/>
      <c r="AI2"/>
    </row>
    <row r="3" ht="32" customHeight="1" spans="1:35" x14ac:dyDescent="0.25">
      <c r="A3" s="13" t="s">
        <v>34</v>
      </c>
      <c r="B3" s="13" t="s">
        <v>68</v>
      </c>
      <c r="C3" s="13" t="s">
        <v>35</v>
      </c>
      <c r="D3" s="13" t="s">
        <v>69</v>
      </c>
      <c r="E3" s="13" t="s">
        <v>70</v>
      </c>
      <c r="F3" s="13" t="s">
        <v>71</v>
      </c>
      <c r="G3" s="13" t="s">
        <v>72</v>
      </c>
      <c r="H3" s="13" t="s">
        <v>73</v>
      </c>
      <c r="I3" s="13" t="s">
        <v>74</v>
      </c>
      <c r="J3" s="13" t="s">
        <v>75</v>
      </c>
      <c r="K3" s="13" t="s">
        <v>76</v>
      </c>
      <c r="L3" s="13" t="s">
        <v>77</v>
      </c>
      <c r="M3" s="13" t="s">
        <v>78</v>
      </c>
      <c r="N3" s="13" t="s">
        <v>79</v>
      </c>
      <c r="O3" s="13" t="s">
        <v>80</v>
      </c>
      <c r="P3" s="13" t="s">
        <v>81</v>
      </c>
      <c r="Q3" s="13" t="s">
        <v>82</v>
      </c>
      <c r="R3" s="13" t="s">
        <v>83</v>
      </c>
      <c r="S3" s="13" t="s">
        <v>84</v>
      </c>
      <c r="T3" s="13" t="s">
        <v>85</v>
      </c>
      <c r="U3" s="13" t="s">
        <v>86</v>
      </c>
      <c r="V3" s="13" t="s">
        <v>87</v>
      </c>
      <c r="W3" s="13" t="s">
        <v>88</v>
      </c>
      <c r="X3" s="13" t="s">
        <v>89</v>
      </c>
      <c r="Y3" s="13" t="s">
        <v>90</v>
      </c>
      <c r="Z3" s="13" t="s">
        <v>91</v>
      </c>
      <c r="AA3" s="13" t="s">
        <v>92</v>
      </c>
      <c r="AB3" s="13" t="s">
        <v>93</v>
      </c>
      <c r="AC3" s="13" t="s">
        <v>94</v>
      </c>
      <c r="AD3" s="13" t="s">
        <v>95</v>
      </c>
      <c r="AE3" s="13" t="s">
        <v>96</v>
      </c>
      <c r="AF3" s="13" t="s">
        <v>97</v>
      </c>
      <c r="AG3" s="13" t="s">
        <v>98</v>
      </c>
      <c r="AH3" s="13" t="s">
        <v>99</v>
      </c>
      <c r="AI3" s="13" t="s">
        <v>100</v>
      </c>
    </row>
    <row r="4" ht="20" customHeight="1" spans="1:35" x14ac:dyDescent="0.25">
      <c r="A4" s="25">
        <v>1</v>
      </c>
      <c r="B4" s="25" t="s">
        <v>101</v>
      </c>
      <c r="C4" s="25" t="s">
        <v>50</v>
      </c>
      <c r="D4" s="26" t="s">
        <v>102</v>
      </c>
      <c r="E4" s="25" t="s">
        <v>103</v>
      </c>
      <c r="F4" s="25" t="s">
        <v>104</v>
      </c>
      <c r="G4" s="25">
        <v>2</v>
      </c>
      <c r="H4" s="25">
        <v>10</v>
      </c>
      <c r="I4" s="25">
        <f>G4*H4</f>
      </c>
      <c r="J4" s="27">
        <f>IFERROR(VLOOKUP(C4, '2_PNL_SAN_PHAM'!$B$4:$H$25, 7, FALSE), 0)</f>
      </c>
      <c r="K4" s="27">
        <f>I4*J4</f>
      </c>
      <c r="L4" s="28">
        <f>'1_THIET_LAP_BU'!$C$11</f>
      </c>
      <c r="M4" s="27">
        <f>ROUND(K4*L4, 0)</f>
      </c>
      <c r="N4" s="25">
        <v>3</v>
      </c>
      <c r="O4" s="25" t="s">
        <v>105</v>
      </c>
      <c r="P4" s="27">
        <v>0</v>
      </c>
      <c r="Q4" s="27">
        <v>0</v>
      </c>
      <c r="R4" s="27">
        <v>0</v>
      </c>
      <c r="S4" s="27">
        <v>0</v>
      </c>
      <c r="T4" s="27">
        <f>ROUND($M4/$N4, 0)</f>
      </c>
      <c r="U4" s="27">
        <f>ROUND($M4/$N4, 0)</f>
      </c>
      <c r="V4" s="27">
        <f>ROUND($M4/$N4, 0)</f>
      </c>
      <c r="W4" s="27">
        <v>0</v>
      </c>
      <c r="X4" s="27">
        <v>0</v>
      </c>
      <c r="Y4" s="27">
        <v>0</v>
      </c>
      <c r="Z4" s="27">
        <v>0</v>
      </c>
      <c r="AA4" s="27">
        <v>0</v>
      </c>
      <c r="AB4" s="27">
        <v>0</v>
      </c>
      <c r="AC4" s="27">
        <v>0</v>
      </c>
      <c r="AD4" s="27">
        <v>0</v>
      </c>
      <c r="AE4" s="27">
        <f>SUM(R4:T4)</f>
      </c>
      <c r="AF4" s="27">
        <f>SUM(U4:W4)</f>
      </c>
      <c r="AG4" s="27">
        <f>SUM(X4:Z4)</f>
      </c>
      <c r="AH4" s="27">
        <f>SUM(AA4:AC4)</f>
      </c>
      <c r="AI4" s="27">
        <f>AD4</f>
      </c>
    </row>
    <row r="5" ht="20" customHeight="1" spans="1:35" x14ac:dyDescent="0.25">
      <c r="A5" s="25">
        <v>2</v>
      </c>
      <c r="B5" s="25" t="s">
        <v>101</v>
      </c>
      <c r="C5" s="25" t="s">
        <v>50</v>
      </c>
      <c r="D5" s="26" t="s">
        <v>106</v>
      </c>
      <c r="E5" s="25" t="s">
        <v>107</v>
      </c>
      <c r="F5" s="25" t="s">
        <v>108</v>
      </c>
      <c r="G5" s="25">
        <v>3</v>
      </c>
      <c r="H5" s="25">
        <v>10</v>
      </c>
      <c r="I5" s="25">
        <f>G5*H5</f>
      </c>
      <c r="J5" s="27">
        <f>IFERROR(VLOOKUP(C5, '2_PNL_SAN_PHAM'!$B$4:$H$25, 7, FALSE), 0)</f>
      </c>
      <c r="K5" s="27">
        <f>I5*J5</f>
      </c>
      <c r="L5" s="28">
        <f>'1_THIET_LAP_BU'!$C$11</f>
      </c>
      <c r="M5" s="27">
        <f>ROUND(K5*L5, 0)</f>
      </c>
      <c r="N5" s="25">
        <v>3</v>
      </c>
      <c r="O5" s="25" t="s">
        <v>105</v>
      </c>
      <c r="P5" s="27">
        <v>0</v>
      </c>
      <c r="Q5" s="27">
        <v>0</v>
      </c>
      <c r="R5" s="27">
        <v>0</v>
      </c>
      <c r="S5" s="27">
        <v>0</v>
      </c>
      <c r="T5" s="27">
        <v>0</v>
      </c>
      <c r="U5" s="27">
        <f>ROUND($M5/$N5, 0)</f>
      </c>
      <c r="V5" s="27">
        <f>ROUND($M5/$N5, 0)</f>
      </c>
      <c r="W5" s="27">
        <f>ROUND($M5/$N5, 0)</f>
      </c>
      <c r="X5" s="27">
        <v>0</v>
      </c>
      <c r="Y5" s="27">
        <v>0</v>
      </c>
      <c r="Z5" s="27">
        <v>0</v>
      </c>
      <c r="AA5" s="27">
        <v>0</v>
      </c>
      <c r="AB5" s="27">
        <v>0</v>
      </c>
      <c r="AC5" s="27">
        <v>0</v>
      </c>
      <c r="AD5" s="27">
        <v>0</v>
      </c>
      <c r="AE5" s="27">
        <f>SUM(R5:T5)</f>
      </c>
      <c r="AF5" s="27">
        <f>SUM(U5:W5)</f>
      </c>
      <c r="AG5" s="27">
        <f>SUM(X5:Z5)</f>
      </c>
      <c r="AH5" s="27">
        <f>SUM(AA5:AC5)</f>
      </c>
      <c r="AI5" s="27">
        <f>AD5</f>
      </c>
    </row>
    <row r="6" ht="20" customHeight="1" spans="1:35" x14ac:dyDescent="0.25">
      <c r="A6" s="25">
        <v>3</v>
      </c>
      <c r="B6" s="25" t="s">
        <v>101</v>
      </c>
      <c r="C6" s="25" t="s">
        <v>54</v>
      </c>
      <c r="D6" s="26" t="s">
        <v>109</v>
      </c>
      <c r="E6" s="25" t="s">
        <v>110</v>
      </c>
      <c r="F6" s="25" t="s">
        <v>111</v>
      </c>
      <c r="G6" s="25">
        <v>4</v>
      </c>
      <c r="H6" s="25">
        <v>10</v>
      </c>
      <c r="I6" s="25">
        <f>G6*H6</f>
      </c>
      <c r="J6" s="27">
        <f>IFERROR(VLOOKUP(C6, '2_PNL_SAN_PHAM'!$B$4:$H$25, 7, FALSE), 0)</f>
      </c>
      <c r="K6" s="27">
        <f>I6*J6</f>
      </c>
      <c r="L6" s="28">
        <f>'1_THIET_LAP_BU'!$C$11</f>
      </c>
      <c r="M6" s="27">
        <f>ROUND(K6*L6, 0)</f>
      </c>
      <c r="N6" s="25">
        <v>3</v>
      </c>
      <c r="O6" s="25" t="s">
        <v>105</v>
      </c>
      <c r="P6" s="27">
        <v>0</v>
      </c>
      <c r="Q6" s="27">
        <v>0</v>
      </c>
      <c r="R6" s="27">
        <v>0</v>
      </c>
      <c r="S6" s="27">
        <v>0</v>
      </c>
      <c r="T6" s="27">
        <v>0</v>
      </c>
      <c r="U6" s="27">
        <v>0</v>
      </c>
      <c r="V6" s="27">
        <v>0</v>
      </c>
      <c r="W6" s="27">
        <v>0</v>
      </c>
      <c r="X6" s="27">
        <v>0</v>
      </c>
      <c r="Y6" s="27">
        <v>0</v>
      </c>
      <c r="Z6" s="27">
        <v>0</v>
      </c>
      <c r="AA6" s="27">
        <f>ROUND($M6/$N6, 0)</f>
      </c>
      <c r="AB6" s="27">
        <f>ROUND($M6/$N6, 0)</f>
      </c>
      <c r="AC6" s="27">
        <f>ROUND($M6/$N6, 0)</f>
      </c>
      <c r="AD6" s="27">
        <v>0</v>
      </c>
      <c r="AE6" s="27">
        <f>SUM(R6:T6)</f>
      </c>
      <c r="AF6" s="27">
        <f>SUM(U6:W6)</f>
      </c>
      <c r="AG6" s="27">
        <f>SUM(X6:Z6)</f>
      </c>
      <c r="AH6" s="27">
        <f>SUM(AA6:AC6)</f>
      </c>
      <c r="AI6" s="27">
        <f>AD6</f>
      </c>
    </row>
    <row r="7" ht="20" customHeight="1" spans="1:35" x14ac:dyDescent="0.25">
      <c r="A7" s="25">
        <v>4</v>
      </c>
      <c r="B7" s="25" t="s">
        <v>112</v>
      </c>
      <c r="C7" s="25" t="s">
        <v>50</v>
      </c>
      <c r="D7" s="26" t="s">
        <v>113</v>
      </c>
      <c r="E7" s="25" t="s">
        <v>114</v>
      </c>
      <c r="F7" s="25" t="s">
        <v>115</v>
      </c>
      <c r="G7" s="25">
        <v>1</v>
      </c>
      <c r="H7" s="25">
        <v>10</v>
      </c>
      <c r="I7" s="25">
        <f>G7*H7</f>
      </c>
      <c r="J7" s="27">
        <f>IFERROR(VLOOKUP(C7, '2_PNL_SAN_PHAM'!$B$4:$H$25, 7, FALSE), 0)</f>
      </c>
      <c r="K7" s="27">
        <f>I7*J7</f>
      </c>
      <c r="L7" s="28">
        <f>'1_THIET_LAP_BU'!$C$11</f>
      </c>
      <c r="M7" s="27">
        <f>ROUND(K7*L7, 0)</f>
      </c>
      <c r="N7" s="25">
        <v>3</v>
      </c>
      <c r="O7" s="25" t="s">
        <v>105</v>
      </c>
      <c r="P7" s="27">
        <v>0</v>
      </c>
      <c r="Q7" s="27">
        <v>0</v>
      </c>
      <c r="R7" s="27">
        <v>0</v>
      </c>
      <c r="S7" s="27">
        <f>ROUND($M7/$N7, 0)</f>
      </c>
      <c r="T7" s="27">
        <f>ROUND($M7/$N7, 0)</f>
      </c>
      <c r="U7" s="27">
        <f>ROUND($M7/$N7, 0)</f>
      </c>
      <c r="V7" s="27">
        <v>0</v>
      </c>
      <c r="W7" s="27">
        <v>0</v>
      </c>
      <c r="X7" s="27">
        <v>0</v>
      </c>
      <c r="Y7" s="27">
        <v>0</v>
      </c>
      <c r="Z7" s="27">
        <v>0</v>
      </c>
      <c r="AA7" s="27">
        <v>0</v>
      </c>
      <c r="AB7" s="27">
        <v>0</v>
      </c>
      <c r="AC7" s="27">
        <v>0</v>
      </c>
      <c r="AD7" s="27">
        <v>0</v>
      </c>
      <c r="AE7" s="27">
        <f>SUM(R7:T7)</f>
      </c>
      <c r="AF7" s="27">
        <f>SUM(U7:W7)</f>
      </c>
      <c r="AG7" s="27">
        <f>SUM(X7:Z7)</f>
      </c>
      <c r="AH7" s="27">
        <f>SUM(AA7:AC7)</f>
      </c>
      <c r="AI7" s="27">
        <f>AD7</f>
      </c>
    </row>
    <row r="8" ht="24" customHeight="1" spans="1:35" x14ac:dyDescent="0.25">
      <c r="A8" s="29"/>
      <c r="B8" s="29" t="s">
        <v>116</v>
      </c>
      <c r="C8" s="29"/>
      <c r="D8" s="29"/>
      <c r="E8" s="29"/>
      <c r="F8" s="29"/>
      <c r="G8" s="29">
        <f>SUMIF($B$4:$B$7, "Chính thức", G$4:G$7)</f>
      </c>
      <c r="H8" s="29"/>
      <c r="I8" s="29">
        <f>SUMIF($B$4:$B$7, "Chính thức", I$4:I$7)</f>
      </c>
      <c r="J8" s="29"/>
      <c r="K8" s="30">
        <f>SUMIF($B$4:$B$7, "Chính thức", K$4:K$7)</f>
      </c>
      <c r="L8" s="29"/>
      <c r="M8" s="30">
        <f>SUMIF($B$4:$B$7, "Chính thức", M$4:M$7)</f>
      </c>
      <c r="N8" s="29"/>
      <c r="O8" s="29"/>
      <c r="P8" s="30">
        <f>SUMIF($B$4:$B$7, "Chính thức", P$4:P$7)</f>
      </c>
      <c r="Q8" s="30">
        <f>SUMIF($B$4:$B$7, "Chính thức", Q$4:Q$7)</f>
      </c>
      <c r="R8" s="30">
        <f>SUMIF($B$4:$B$7, "Chính thức", R$4:R$7)</f>
      </c>
      <c r="S8" s="30">
        <f>SUMIF($B$4:$B$7, "Chính thức", S$4:S$7)</f>
      </c>
      <c r="T8" s="30">
        <f>SUMIF($B$4:$B$7, "Chính thức", T$4:T$7)</f>
      </c>
      <c r="U8" s="30">
        <f>SUMIF($B$4:$B$7, "Chính thức", U$4:U$7)</f>
      </c>
      <c r="V8" s="30">
        <f>SUMIF($B$4:$B$7, "Chính thức", V$4:V$7)</f>
      </c>
      <c r="W8" s="30">
        <f>SUMIF($B$4:$B$7, "Chính thức", W$4:W$7)</f>
      </c>
      <c r="X8" s="30">
        <f>SUMIF($B$4:$B$7, "Chính thức", X$4:X$7)</f>
      </c>
      <c r="Y8" s="30">
        <f>SUMIF($B$4:$B$7, "Chính thức", Y$4:Y$7)</f>
      </c>
      <c r="Z8" s="30">
        <f>SUMIF($B$4:$B$7, "Chính thức", Z$4:Z$7)</f>
      </c>
      <c r="AA8" s="30">
        <f>SUMIF($B$4:$B$7, "Chính thức", AA$4:AA$7)</f>
      </c>
      <c r="AB8" s="30">
        <f>SUMIF($B$4:$B$7, "Chính thức", AB$4:AB$7)</f>
      </c>
      <c r="AC8" s="30">
        <f>SUMIF($B$4:$B$7, "Chính thức", AC$4:AC$7)</f>
      </c>
      <c r="AD8" s="30">
        <f>SUMIF($B$4:$B$7, "Chính thức", AD$4:AD$7)</f>
      </c>
      <c r="AE8" s="30">
        <f>SUMIF($B$4:$B$7, "Chính thức", AE$4:AE$7)</f>
      </c>
      <c r="AF8" s="30">
        <f>SUMIF($B$4:$B$7, "Chính thức", AF$4:AF$7)</f>
      </c>
      <c r="AG8" s="30">
        <f>SUMIF($B$4:$B$7, "Chính thức", AG$4:AG$7)</f>
      </c>
      <c r="AH8" s="30">
        <f>SUMIF($B$4:$B$7, "Chính thức", AH$4:AH$7)</f>
      </c>
      <c r="AI8" s="30">
        <f>SUMIF($B$4:$B$7, "Chính thức", AI$4:AI$7)</f>
      </c>
    </row>
    <row r="9" ht="24" customHeight="1" spans="1:35" x14ac:dyDescent="0.25">
      <c r="A9" s="31"/>
      <c r="B9" s="31" t="s">
        <v>117</v>
      </c>
      <c r="C9" s="31"/>
      <c r="D9" s="31"/>
      <c r="E9" s="31"/>
      <c r="F9" s="31"/>
      <c r="G9" s="31">
        <f>SUMIF($B$4:$B$7, "Mở rộng / Dự phòng", G$4:G$7)</f>
      </c>
      <c r="H9" s="31"/>
      <c r="I9" s="31">
        <f>SUMIF($B$4:$B$7, "Mở rộng / Dự phòng", I$4:I$7)</f>
      </c>
      <c r="J9" s="31"/>
      <c r="K9" s="32">
        <f>SUMIF($B$4:$B$7, "Mở rộng / Dự phòng", K$4:K$7)</f>
      </c>
      <c r="L9" s="31"/>
      <c r="M9" s="32">
        <f>SUMIF($B$4:$B$7, "Mở rộng / Dự phòng", M$4:M$7)</f>
      </c>
      <c r="N9" s="31"/>
      <c r="O9" s="31"/>
      <c r="P9" s="32">
        <f>SUMIF($B$4:$B$7, "Mở rộng / Dự phòng", P$4:P$7)</f>
      </c>
      <c r="Q9" s="32">
        <f>SUMIF($B$4:$B$7, "Mở rộng / Dự phòng", Q$4:Q$7)</f>
      </c>
      <c r="R9" s="32">
        <f>SUMIF($B$4:$B$7, "Mở rộng / Dự phòng", R$4:R$7)</f>
      </c>
      <c r="S9" s="32">
        <f>SUMIF($B$4:$B$7, "Mở rộng / Dự phòng", S$4:S$7)</f>
      </c>
      <c r="T9" s="32">
        <f>SUMIF($B$4:$B$7, "Mở rộng / Dự phòng", T$4:T$7)</f>
      </c>
      <c r="U9" s="32">
        <f>SUMIF($B$4:$B$7, "Mở rộng / Dự phòng", U$4:U$7)</f>
      </c>
      <c r="V9" s="32">
        <f>SUMIF($B$4:$B$7, "Mở rộng / Dự phòng", V$4:V$7)</f>
      </c>
      <c r="W9" s="32">
        <f>SUMIF($B$4:$B$7, "Mở rộng / Dự phòng", W$4:W$7)</f>
      </c>
      <c r="X9" s="32">
        <f>SUMIF($B$4:$B$7, "Mở rộng / Dự phòng", X$4:X$7)</f>
      </c>
      <c r="Y9" s="32">
        <f>SUMIF($B$4:$B$7, "Mở rộng / Dự phòng", Y$4:Y$7)</f>
      </c>
      <c r="Z9" s="32">
        <f>SUMIF($B$4:$B$7, "Mở rộng / Dự phòng", Z$4:Z$7)</f>
      </c>
      <c r="AA9" s="32">
        <f>SUMIF($B$4:$B$7, "Mở rộng / Dự phòng", AA$4:AA$7)</f>
      </c>
      <c r="AB9" s="32">
        <f>SUMIF($B$4:$B$7, "Mở rộng / Dự phòng", AB$4:AB$7)</f>
      </c>
      <c r="AC9" s="32">
        <f>SUMIF($B$4:$B$7, "Mở rộng / Dự phòng", AC$4:AC$7)</f>
      </c>
      <c r="AD9" s="32">
        <f>SUMIF($B$4:$B$7, "Mở rộng / Dự phòng", AD$4:AD$7)</f>
      </c>
      <c r="AE9" s="32">
        <f>SUMIF($B$4:$B$7, "Mở rộng / Dự phòng", AE$4:AE$7)</f>
      </c>
      <c r="AF9" s="32">
        <f>SUMIF($B$4:$B$7, "Mở rộng / Dự phòng", AF$4:AF$7)</f>
      </c>
      <c r="AG9" s="32">
        <f>SUMIF($B$4:$B$7, "Mở rộng / Dự phòng", AG$4:AG$7)</f>
      </c>
      <c r="AH9" s="32">
        <f>SUMIF($B$4:$B$7, "Mở rộng / Dự phòng", AH$4:AH$7)</f>
      </c>
      <c r="AI9" s="32">
        <f>SUMIF($B$4:$B$7, "Mở rộng / Dự phòng", AI$4:AI$7)</f>
      </c>
    </row>
    <row r="10" ht="28" customHeight="1" spans="1:35" x14ac:dyDescent="0.25">
      <c r="A10" s="19"/>
      <c r="B10" s="19" t="s">
        <v>118</v>
      </c>
      <c r="C10" s="19"/>
      <c r="D10" s="19"/>
      <c r="E10" s="19"/>
      <c r="F10" s="19"/>
      <c r="G10" s="19">
        <f>SUM(G$4:G$7)</f>
      </c>
      <c r="H10" s="19"/>
      <c r="I10" s="19">
        <f>SUM(I$4:I$7)</f>
      </c>
      <c r="J10" s="19"/>
      <c r="K10" s="20">
        <f>SUM(K$4:K$7)</f>
      </c>
      <c r="L10" s="19"/>
      <c r="M10" s="20">
        <f>SUM(M$4:M$7)</f>
      </c>
      <c r="N10" s="19"/>
      <c r="O10" s="19"/>
      <c r="P10" s="20">
        <f>SUM(P$4:P$7)</f>
      </c>
      <c r="Q10" s="20">
        <f>SUM(Q$4:Q$7)</f>
      </c>
      <c r="R10" s="20">
        <f>SUM(R$4:R$7)</f>
      </c>
      <c r="S10" s="20">
        <f>SUM(S$4:S$7)</f>
      </c>
      <c r="T10" s="20">
        <f>SUM(T$4:T$7)</f>
      </c>
      <c r="U10" s="20">
        <f>SUM(U$4:U$7)</f>
      </c>
      <c r="V10" s="20">
        <f>SUM(V$4:V$7)</f>
      </c>
      <c r="W10" s="20">
        <f>SUM(W$4:W$7)</f>
      </c>
      <c r="X10" s="20">
        <f>SUM(X$4:X$7)</f>
      </c>
      <c r="Y10" s="20">
        <f>SUM(Y$4:Y$7)</f>
      </c>
      <c r="Z10" s="20">
        <f>SUM(Z$4:Z$7)</f>
      </c>
      <c r="AA10" s="20">
        <f>SUM(AA$4:AA$7)</f>
      </c>
      <c r="AB10" s="20">
        <f>SUM(AB$4:AB$7)</f>
      </c>
      <c r="AC10" s="20">
        <f>SUM(AC$4:AC$7)</f>
      </c>
      <c r="AD10" s="20">
        <f>SUM(AD$4:AD$7)</f>
      </c>
      <c r="AE10" s="20">
        <f>SUM(AE$4:AE$7)</f>
      </c>
      <c r="AF10" s="20">
        <f>SUM(AF$4:AF$7)</f>
      </c>
      <c r="AG10" s="20">
        <f>SUM(AG$4:AG$7)</f>
      </c>
      <c r="AH10" s="20">
        <f>SUM(AH$4:AH$7)</f>
      </c>
      <c r="AI10" s="20">
        <f>SUM(AI$4:AI$7)</f>
      </c>
    </row>
  </sheetData>
  <mergeCells count="4">
    <mergeCell ref="A1:AI1"/>
    <mergeCell ref="A2:O2"/>
    <mergeCell ref="P2:AD2"/>
    <mergeCell ref="AE2:AI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2"/>
  <sheetViews>
    <sheetView workbookViewId="0"/>
  </sheetViews>
  <sheetFormatPr defaultRowHeight="15" outlineLevelRow="0" outlineLevelCol="0" x14ac:dyDescent="55"/>
  <cols>
    <col min="1" max="1" width="5" customWidth="1"/>
    <col min="2" max="2" width="24" customWidth="1"/>
    <col min="3" max="5" width="22" customWidth="1"/>
    <col min="6" max="6" width="45" customWidth="1"/>
  </cols>
  <sheetData>
    <row r="2" ht="36" customHeight="1" spans="2:6" x14ac:dyDescent="0.25">
      <c r="B2" s="1" t="s">
        <v>119</v>
      </c>
      <c r="C2" s="1"/>
      <c r="D2" s="1"/>
      <c r="E2" s="1"/>
      <c r="F2" s="1"/>
    </row>
    <row r="3" ht="20" customHeight="1" spans="2:6" x14ac:dyDescent="0.25">
      <c r="B3" s="2" t="s">
        <v>120</v>
      </c>
      <c r="C3" s="2"/>
      <c r="D3" s="2"/>
      <c r="E3" s="2"/>
      <c r="F3" s="2"/>
    </row>
    <row r="5" ht="30" customHeight="1" spans="2:6" x14ac:dyDescent="0.25">
      <c r="B5" s="13" t="s">
        <v>121</v>
      </c>
      <c r="C5" s="13" t="s">
        <v>122</v>
      </c>
      <c r="D5" s="13" t="s">
        <v>123</v>
      </c>
      <c r="E5" s="13" t="s">
        <v>124</v>
      </c>
      <c r="F5" s="13" t="s">
        <v>125</v>
      </c>
    </row>
    <row r="6" ht="22" customHeight="1" spans="2:6" x14ac:dyDescent="0.25">
      <c r="B6" s="15" t="s">
        <v>126</v>
      </c>
      <c r="C6" s="15" t="s">
        <v>127</v>
      </c>
      <c r="D6" s="15" t="s">
        <v>128</v>
      </c>
      <c r="E6" s="15" t="s">
        <v>129</v>
      </c>
      <c r="F6" s="15" t="s">
        <v>130</v>
      </c>
    </row>
    <row r="7" ht="22" customHeight="1" spans="2:6" x14ac:dyDescent="0.25">
      <c r="B7" s="15" t="s">
        <v>131</v>
      </c>
      <c r="C7" s="15">
        <f>ROUND('3_LICH_BAY_DONG_TIEN_MKT'!G10*0.8, 0)</f>
      </c>
      <c r="D7" s="15">
        <f>'3_LICH_BAY_DONG_TIEN_MKT'!G10</f>
      </c>
      <c r="E7" s="15">
        <f>ROUND('3_LICH_BAY_DONG_TIEN_MKT'!G10*1.1, 0)</f>
      </c>
      <c r="F7" s="15" t="s">
        <v>132</v>
      </c>
    </row>
    <row r="8" ht="22" customHeight="1" spans="2:6" x14ac:dyDescent="0.25">
      <c r="B8" s="15" t="s">
        <v>133</v>
      </c>
      <c r="C8" s="15">
        <v>8</v>
      </c>
      <c r="D8" s="15">
        <v>10</v>
      </c>
      <c r="E8" s="15">
        <v>12</v>
      </c>
      <c r="F8" s="15" t="s">
        <v>134</v>
      </c>
    </row>
    <row r="9" ht="22" customHeight="1" spans="2:6" x14ac:dyDescent="0.25">
      <c r="B9" s="15" t="s">
        <v>135</v>
      </c>
      <c r="C9" s="15">
        <f>C7*C8</f>
      </c>
      <c r="D9" s="15">
        <f>D7*D8</f>
      </c>
      <c r="E9" s="15">
        <f>E7*E8</f>
      </c>
      <c r="F9" s="15" t="s">
        <v>136</v>
      </c>
    </row>
    <row r="10" ht="22" customHeight="1" spans="2:6" x14ac:dyDescent="0.25">
      <c r="B10" s="15" t="s">
        <v>137</v>
      </c>
      <c r="C10" s="15" t="s">
        <v>138</v>
      </c>
      <c r="D10" s="15" t="s">
        <v>139</v>
      </c>
      <c r="E10" s="15" t="s">
        <v>139</v>
      </c>
      <c r="F10" s="15" t="s">
        <v>140</v>
      </c>
    </row>
    <row r="11" ht="22" customHeight="1" spans="2:6" x14ac:dyDescent="0.25">
      <c r="B11" s="15" t="s">
        <v>141</v>
      </c>
      <c r="C11" s="15" t="s">
        <v>142</v>
      </c>
      <c r="D11" s="15" t="s">
        <v>139</v>
      </c>
      <c r="E11" s="15" t="s">
        <v>143</v>
      </c>
      <c r="F11" s="15" t="s">
        <v>144</v>
      </c>
    </row>
    <row r="12" ht="22" customHeight="1" spans="2:6" x14ac:dyDescent="0.25">
      <c r="B12" s="33" t="s">
        <v>145</v>
      </c>
      <c r="C12" s="34">
        <f>C9*('2_PNL_SAN_PHAM'!K7/'2_PNL_SAN_PHAM'!G7)*0.98</f>
      </c>
      <c r="D12" s="34">
        <f>'2_PNL_SAN_PHAM'!K7</f>
      </c>
      <c r="E12" s="34">
        <f>E9*('2_PNL_SAN_PHAM'!K7/'2_PNL_SAN_PHAM'!G7)</f>
      </c>
      <c r="F12" s="15" t="s">
        <v>146</v>
      </c>
    </row>
    <row r="13" ht="22" customHeight="1" spans="2:6" x14ac:dyDescent="0.25">
      <c r="B13" s="15" t="s">
        <v>147</v>
      </c>
      <c r="C13" s="16">
        <f>C9*('2_PNL_SAN_PHAM'!L7/'2_PNL_SAN_PHAM'!G7)*1.03</f>
      </c>
      <c r="D13" s="16">
        <f>'2_PNL_SAN_PHAM'!L7</f>
      </c>
      <c r="E13" s="16">
        <f>E9*('2_PNL_SAN_PHAM'!L7/'2_PNL_SAN_PHAM'!G7)*0.98</f>
      </c>
      <c r="F13" s="15" t="s">
        <v>148</v>
      </c>
    </row>
    <row r="14" ht="22" customHeight="1" spans="2:6" x14ac:dyDescent="0.25">
      <c r="B14" s="33" t="s">
        <v>149</v>
      </c>
      <c r="C14" s="34">
        <f>C12-C13</f>
      </c>
      <c r="D14" s="34">
        <f>D12-D13</f>
      </c>
      <c r="E14" s="34">
        <f>E12-E13</f>
      </c>
      <c r="F14" s="15" t="s">
        <v>150</v>
      </c>
    </row>
    <row r="15" ht="22" customHeight="1" spans="2:6" x14ac:dyDescent="0.25">
      <c r="B15" s="33" t="s">
        <v>151</v>
      </c>
      <c r="C15" s="35">
        <f>IF(C12&gt;0, C14/C12, 0)</f>
      </c>
      <c r="D15" s="35">
        <f>IF(D12&gt;0, D14/D12, 0)</f>
      </c>
      <c r="E15" s="35">
        <f>IF(E12&gt;0, E14/E12, 0)</f>
      </c>
      <c r="F15" s="15" t="s">
        <v>152</v>
      </c>
    </row>
    <row r="16" ht="22" customHeight="1" spans="2:6" x14ac:dyDescent="0.25">
      <c r="B16" s="15" t="s">
        <v>153</v>
      </c>
      <c r="C16" s="16">
        <f>ROUND(C12*0.01, 0)</f>
      </c>
      <c r="D16" s="16">
        <f>ROUND(D12*0.01, 0)</f>
      </c>
      <c r="E16" s="16">
        <f>ROUND(E12*0.01, 0)</f>
      </c>
      <c r="F16" s="15" t="s">
        <v>154</v>
      </c>
    </row>
    <row r="17" ht="22" customHeight="1" spans="2:6" x14ac:dyDescent="0.25">
      <c r="B17" s="33" t="s">
        <v>155</v>
      </c>
      <c r="C17" s="34">
        <f>C14-C16</f>
      </c>
      <c r="D17" s="34">
        <f>D14-D16</f>
      </c>
      <c r="E17" s="34">
        <f>E14-E16</f>
      </c>
      <c r="F17" s="15" t="s">
        <v>156</v>
      </c>
    </row>
    <row r="19" ht="24" customHeight="1" spans="2:6" x14ac:dyDescent="0.25">
      <c r="B19" s="36" t="s">
        <v>157</v>
      </c>
      <c r="C19" s="36"/>
      <c r="D19" s="36"/>
      <c r="E19" s="36"/>
      <c r="F19" s="36"/>
    </row>
    <row r="20" ht="26" customHeight="1" spans="2:6" x14ac:dyDescent="0.25">
      <c r="B20" s="37" t="s">
        <v>158</v>
      </c>
      <c r="C20" s="38" t="s">
        <v>159</v>
      </c>
      <c r="D20" s="38"/>
      <c r="E20" s="38"/>
      <c r="F20" s="38"/>
    </row>
    <row r="21" ht="26" customHeight="1" spans="2:6" x14ac:dyDescent="0.25">
      <c r="B21" s="37" t="s">
        <v>160</v>
      </c>
      <c r="C21" s="38" t="s">
        <v>161</v>
      </c>
      <c r="D21" s="38"/>
      <c r="E21" s="38"/>
      <c r="F21" s="38"/>
    </row>
    <row r="22" ht="26" customHeight="1" spans="2:6" x14ac:dyDescent="0.25">
      <c r="B22" s="37" t="s">
        <v>162</v>
      </c>
      <c r="C22" s="38" t="s">
        <v>163</v>
      </c>
      <c r="D22" s="38"/>
      <c r="E22" s="38"/>
      <c r="F22" s="38"/>
    </row>
  </sheetData>
  <mergeCells count="6">
    <mergeCell ref="B2:F2"/>
    <mergeCell ref="B3:F3"/>
    <mergeCell ref="B19:F19"/>
    <mergeCell ref="C20:F20"/>
    <mergeCell ref="C21:F21"/>
    <mergeCell ref="C22:F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1_THIET_LAP_BU</vt:lpstr>
      <vt:lpstr>2_PNL_SAN_PHAM</vt:lpstr>
      <vt:lpstr>3_LICH_BAY_DONG_TIEN_MKT</vt:lpstr>
      <vt:lpstr>4_KICH_BAN_KINH_DOANH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 TOUR Financial &amp; Marketing Planning System</dc:creator>
  <dc:title/>
  <dc:subject/>
  <dc:description/>
  <cp:keywords/>
  <cp:category/>
  <cp:lastModifiedBy>FIT TOUR ERP Core</cp:lastModifiedBy>
  <dcterms:created xsi:type="dcterms:W3CDTF">2026-10-26T03:51:08Z</dcterms:created>
  <dcterms:modified xsi:type="dcterms:W3CDTF">2026-10-26T03:51:08Z</dcterms:modified>
</cp:coreProperties>
</file>