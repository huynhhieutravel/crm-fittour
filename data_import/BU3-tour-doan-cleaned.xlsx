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THÀNH CÔNG" sheetId="2" r:id="rId2"/>
    <sheet name="NOTE" sheetId="3" r:id="rId3"/>
  </sheets>
</workbook>
</file>

<file path=xl/comments1.xml><?xml version="1.0" encoding="utf-8"?>
<comments xmlns="http://schemas.openxmlformats.org/spreadsheetml/2006/main">
  <authors>
    <author>Microsoft Office User</author>
    <author>tc={54EE7951-7262-4200-6969-000000000000}</author>
  </authors>
  <commentList>
    <comment ref="A1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\ [$đ-42A]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Relationship Id="rId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Microsoft Office User" id="{54EE7950-7262-4200-6969-000000000001}" userId="Microsoft Office User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A1" id="{54EE7951-7262-4200-6969-000000000000}" personId="{54EE7950-7262-4200-6969-000000000001}" xml:space="preserve">
    <text xml:space="preserve">Loáº¡i 1: 17k
Loáº¡i 2: 12k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98"/>
  <sheetViews>
    <sheetView workbookViewId="0" rightToLeft="0"/>
  </sheetViews>
  <cols>
    <col min="1" max="1" customWidth="1" width="10.6640625"/>
    <col min="2" max="2" customWidth="1" width="10.83203125"/>
    <col min="3" max="3" customWidth="1" width="20"/>
    <col min="4" max="4" customWidth="1" width="16.5"/>
    <col min="5" max="5" customWidth="1" width="15"/>
    <col min="6" max="6" customWidth="1" width="23.5"/>
    <col min="7" max="7" customWidth="1" width="13.83203125"/>
    <col min="8" max="8" customWidth="1" width="29.6640625"/>
    <col min="9" max="9" customWidth="1" width="25.1640625"/>
    <col min="10" max="10" customWidth="1" width="15.6640625"/>
    <col min="11" max="11" customWidth="1" width="16.1640625"/>
    <col min="12" max="12" customWidth="1" width="13.83203125"/>
    <col min="13" max="13" customWidth="1" width="13.33203125"/>
    <col min="14" max="14" customWidth="1" width="15"/>
    <col min="15" max="15" customWidth="1" width="21.6640625"/>
    <col min="17" max="17" customWidth="1" width="10.6640625"/>
    <col min="18" max="18" customWidth="1" width="10.6640625"/>
    <col min="19" max="19" customWidth="1" width="10.6640625"/>
    <col min="20" max="20" customWidth="1" width="10.6640625"/>
    <col min="21" max="21" customWidth="1" width="10.6640625"/>
    <col min="22" max="22" customWidth="1" width="10.6640625"/>
    <col min="23" max="23" customWidth="1" width="10.6640625"/>
    <col min="24" max="24" customWidth="1" width="10.6640625"/>
    <col min="25" max="25" customWidth="1" width="10.6640625"/>
    <col min="26" max="26" customWidth="1" width="10.6640625"/>
    <col min="27" max="27" customWidth="1" width="10.6640625"/>
    <col min="28" max="28" customWidth="1" width="10.6640625"/>
  </cols>
  <sheetData>
    <row r="1" ht="12.75" customHeight="1"/>
    <row r="2" ht="12.75" customHeight="1"/>
    <row r="3" ht="12.75" customHeight="1"/>
    <row r="4" ht="12.75" customHeight="1">
      <c r="B4" t="str">
        <v>Stt</v>
      </c>
      <c r="C4" t="str">
        <v>Nguồn thông tin</v>
      </c>
      <c r="D4" t="str">
        <v>Sale</v>
      </c>
      <c r="E4" t="str">
        <v>Tình trạng</v>
      </c>
      <c r="F4" t="str">
        <v>Tên đoàn</v>
      </c>
      <c r="G4" t="str">
        <v>NGÀY ĐI (DỰ KIẾN)</v>
      </c>
      <c r="H4" t="str">
        <v>NGÀY VỀ (DỰ KIẾN)</v>
      </c>
      <c r="I4" t="str">
        <v>Tuyến điểm</v>
      </c>
      <c r="J4" t="str">
        <v>Số lượng</v>
      </c>
      <c r="K4" t="str">
        <v>Đại diện</v>
      </c>
      <c r="L4" t="str">
        <v>Phone</v>
      </c>
      <c r="M4" t="str">
        <v>Mail</v>
      </c>
      <c r="N4" s="1" t="str">
        <v>Giá bán</v>
      </c>
      <c r="O4" t="str">
        <v>Doanh thu</v>
      </c>
      <c r="P4" t="str">
        <v>THÁNG KH</v>
      </c>
    </row>
    <row r="5" ht="12.75" customHeight="1">
      <c r="B5">
        <v>1</v>
      </c>
      <c r="C5" t="str">
        <v>CEO/PGD</v>
      </c>
      <c r="D5" t="str">
        <v>Vy Phan</v>
      </c>
      <c r="E5" t="str">
        <v>Thành công</v>
      </c>
      <c r="F5" t="str">
        <v xml:space="preserve">Draeger </v>
      </c>
      <c r="G5" t="str">
        <v>28/01/2026</v>
      </c>
      <c r="H5" t="str">
        <v>30/01/2026</v>
      </c>
      <c r="I5" t="str">
        <v>Phú Quốc</v>
      </c>
      <c r="J5">
        <v>40</v>
      </c>
      <c r="N5" s="1">
        <v>12000000</v>
      </c>
      <c r="O5" s="1">
        <v>480000000</v>
      </c>
      <c r="P5" t="str">
        <v>Tháng 01</v>
      </c>
    </row>
    <row r="6" ht="12.75" customHeight="1">
      <c r="B6">
        <f>B5+1</f>
        <v>2</v>
      </c>
      <c r="C6" t="str">
        <v>CEO/PGD</v>
      </c>
      <c r="D6" t="str">
        <v>Vy Phan</v>
      </c>
      <c r="E6" t="str">
        <v>Thành công</v>
      </c>
      <c r="F6" t="str">
        <v>Ngân hàng VIB</v>
      </c>
      <c r="G6" t="str">
        <v>07/02/2026</v>
      </c>
      <c r="H6" t="str">
        <v>07/02/2026</v>
      </c>
      <c r="I6" t="str">
        <v>Hà Nội</v>
      </c>
      <c r="J6">
        <v>250</v>
      </c>
      <c r="N6" s="1">
        <v>1200000</v>
      </c>
      <c r="O6" s="1">
        <v>300000000</v>
      </c>
      <c r="P6" t="str">
        <v>Tháng 02</v>
      </c>
    </row>
    <row r="7" ht="12.75" customHeight="1">
      <c r="B7">
        <f>B6+1</f>
        <v>3</v>
      </c>
      <c r="C7" t="str">
        <v>CEO/PGD</v>
      </c>
      <c r="D7" t="str">
        <v>Vy Phan</v>
      </c>
      <c r="E7" t="str">
        <v>Thành công</v>
      </c>
      <c r="F7" t="str">
        <v>Ngân hàng VIB</v>
      </c>
      <c r="G7" t="str">
        <v>08/02/2026</v>
      </c>
      <c r="H7" t="str">
        <v>08/02/2026</v>
      </c>
      <c r="I7" t="str">
        <v>TP.HCM</v>
      </c>
      <c r="J7">
        <v>500</v>
      </c>
      <c r="N7" s="1">
        <v>1200000</v>
      </c>
      <c r="O7" s="1">
        <v>600000000</v>
      </c>
      <c r="P7" t="str">
        <v>Tháng 02</v>
      </c>
    </row>
    <row r="8" ht="12.75" customHeight="1">
      <c r="B8">
        <f>B7+1</f>
        <v>4</v>
      </c>
      <c r="C8" t="str">
        <v>CEO/PGD</v>
      </c>
      <c r="D8" t="str">
        <v>Hầu Hưng</v>
      </c>
      <c r="E8" t="str">
        <v>Thành công</v>
      </c>
      <c r="F8" t="str">
        <v>Giáo dục Phương Nam</v>
      </c>
      <c r="G8" t="str">
        <v>07/02/2026</v>
      </c>
      <c r="H8" t="str">
        <v>07/02/2026</v>
      </c>
      <c r="I8" t="str">
        <v>TP.HCM</v>
      </c>
      <c r="J8">
        <v>200</v>
      </c>
      <c r="N8" s="1">
        <v>30000000</v>
      </c>
      <c r="O8" s="1">
        <v>6000000000</v>
      </c>
      <c r="P8" t="str">
        <v>Tháng 02</v>
      </c>
    </row>
    <row r="9" ht="12.75" customHeight="1">
      <c r="B9">
        <f>B8+1</f>
        <v>5</v>
      </c>
      <c r="C9" t="str">
        <v>CEO/PGD</v>
      </c>
      <c r="D9" t="str">
        <v>Vy Phan</v>
      </c>
      <c r="E9" t="str">
        <v>Thành công</v>
      </c>
      <c r="F9" t="str">
        <v>GD Bác Phấn</v>
      </c>
      <c r="G9" t="str">
        <v>06/01/2026</v>
      </c>
      <c r="H9" t="str">
        <v>10/01/2026</v>
      </c>
      <c r="I9" t="str">
        <v>TP.HCM</v>
      </c>
      <c r="J9">
        <v>2</v>
      </c>
      <c r="N9" s="1">
        <v>13000000</v>
      </c>
      <c r="O9" s="1">
        <v>26000000</v>
      </c>
      <c r="P9" t="str">
        <v>Tháng 01</v>
      </c>
    </row>
    <row r="10" ht="12.75" customHeight="1">
      <c r="B10">
        <f>B9+1</f>
        <v>6</v>
      </c>
      <c r="C10" t="str">
        <v>CEO/PGD</v>
      </c>
      <c r="D10" t="str">
        <v>Hầu Hưng</v>
      </c>
      <c r="E10" t="str">
        <v>Khác</v>
      </c>
      <c r="F10" t="str">
        <v>VIB</v>
      </c>
      <c r="G10" t="str">
        <v>07/03/2026</v>
      </c>
      <c r="H10" t="str">
        <v>07/03/2026</v>
      </c>
      <c r="I10" t="str">
        <v>Hà Nội</v>
      </c>
      <c r="P10" t="str">
        <v>Tháng 03</v>
      </c>
    </row>
    <row r="11" ht="12.75" customHeight="1">
      <c r="B11">
        <f>B10+1</f>
        <v>7</v>
      </c>
      <c r="C11" t="str">
        <v>CEO/PGD</v>
      </c>
      <c r="D11" t="str">
        <v>Hầu Hưng</v>
      </c>
      <c r="E11" t="str">
        <v>Thành công</v>
      </c>
      <c r="F11" t="str">
        <v>Draeger</v>
      </c>
      <c r="G11" t="str">
        <v>04/03/2026</v>
      </c>
      <c r="H11" t="str">
        <v>06/03/2026</v>
      </c>
      <c r="I11" t="str">
        <v>Phú Yên</v>
      </c>
      <c r="J11">
        <v>30</v>
      </c>
      <c r="N11" s="1">
        <v>106260000</v>
      </c>
      <c r="O11" s="1">
        <v>106260000</v>
      </c>
      <c r="P11" t="str">
        <v>Tháng 01</v>
      </c>
    </row>
    <row r="12" ht="12.75" customHeight="1">
      <c r="B12">
        <f>B11+1</f>
        <v>8</v>
      </c>
      <c r="C12" t="str">
        <v>CEO/PGD</v>
      </c>
      <c r="D12" t="str">
        <v>Hầu Hưng</v>
      </c>
      <c r="E12" t="str">
        <v>Thành công</v>
      </c>
      <c r="F12" t="str">
        <v>ECU</v>
      </c>
      <c r="G12" t="str">
        <v>18/03/2026</v>
      </c>
      <c r="H12" t="str">
        <v>22/03/2026</v>
      </c>
      <c r="I12" t="str">
        <v>Thái Lan</v>
      </c>
      <c r="J12">
        <v>32</v>
      </c>
      <c r="N12" s="1">
        <v>12500000</v>
      </c>
      <c r="O12" s="1">
        <v>400000000</v>
      </c>
      <c r="P12" t="str">
        <v>Tháng 03</v>
      </c>
    </row>
    <row r="13" ht="12.75" customHeight="1">
      <c r="B13">
        <f>B12+1</f>
        <v>9</v>
      </c>
      <c r="C13" t="str">
        <v>CEO/PGD</v>
      </c>
      <c r="D13" t="str">
        <v>Hồng Trang</v>
      </c>
      <c r="E13" t="str">
        <v>Thành công</v>
      </c>
      <c r="F13" t="str">
        <v>BOSCH SX</v>
      </c>
      <c r="G13" t="str">
        <v>19/03/2026</v>
      </c>
      <c r="H13" t="str">
        <v>22/03/2026</v>
      </c>
      <c r="I13" t="str">
        <v>Nha Trang</v>
      </c>
      <c r="J13">
        <v>250</v>
      </c>
      <c r="K13" t="str">
        <v>Ms.Thục Uyên</v>
      </c>
      <c r="N13" s="1">
        <v>4200000</v>
      </c>
      <c r="O13" s="1">
        <v>1050000000</v>
      </c>
      <c r="P13" t="str">
        <v>Tháng 03</v>
      </c>
    </row>
    <row r="14" ht="12.75" customHeight="1">
      <c r="B14">
        <f>B13+1</f>
        <v>10</v>
      </c>
      <c r="C14" t="str">
        <v>CEO/PGD</v>
      </c>
      <c r="D14" t="str">
        <v>Hồng Trang</v>
      </c>
      <c r="E14" t="str">
        <v>Thành công</v>
      </c>
      <c r="F14" t="str">
        <v>BOSCH EET</v>
      </c>
      <c r="G14" t="str">
        <v>27/03/2026</v>
      </c>
      <c r="H14" t="str">
        <v>29/03/2026</v>
      </c>
      <c r="I14" t="str">
        <v>Đà Lạt</v>
      </c>
      <c r="J14">
        <v>120</v>
      </c>
      <c r="K14" t="str">
        <v>Ms.Ngọc Ánh</v>
      </c>
      <c r="N14" s="1">
        <v>4400000</v>
      </c>
      <c r="O14" s="1">
        <v>528000000</v>
      </c>
      <c r="P14" t="str">
        <v>Tháng 03</v>
      </c>
    </row>
    <row r="15" ht="12.75" customHeight="1">
      <c r="B15">
        <f>B14+1</f>
        <v>11</v>
      </c>
      <c r="C15" t="str">
        <v>CEO/PGD</v>
      </c>
      <c r="D15" t="str">
        <v>Hồng Trang</v>
      </c>
      <c r="E15" t="str">
        <v>Thành công</v>
      </c>
      <c r="F15" t="str">
        <v>PHÒNG KHÁM Y VIỆT</v>
      </c>
      <c r="G15" t="str">
        <v>28/03/2026</v>
      </c>
      <c r="H15" t="str">
        <v>29/03/2026</v>
      </c>
      <c r="I15" t="str">
        <v>Phan Thiết</v>
      </c>
      <c r="J15">
        <v>135</v>
      </c>
      <c r="K15" t="str">
        <v>Ms.Ngoan</v>
      </c>
      <c r="L15" t="str">
        <v>0332939159</v>
      </c>
      <c r="N15" s="1">
        <v>2350000</v>
      </c>
      <c r="O15" s="1">
        <v>317250000</v>
      </c>
      <c r="P15" t="str">
        <v>Tháng 03</v>
      </c>
    </row>
    <row r="16" ht="12.75" customHeight="1">
      <c r="B16">
        <f>B15+1</f>
        <v>12</v>
      </c>
      <c r="C16" t="str">
        <v>CEO/PGD</v>
      </c>
      <c r="D16" t="str">
        <v>Hồng Trang</v>
      </c>
      <c r="E16" t="str">
        <v>Khác</v>
      </c>
      <c r="F16" t="str">
        <v>BOSCH EDT</v>
      </c>
      <c r="G16" t="str">
        <v>03/04/2026</v>
      </c>
      <c r="H16" t="str">
        <v>05/04/2026</v>
      </c>
      <c r="I16" t="str">
        <v>Đà Lạt</v>
      </c>
      <c r="J16">
        <v>150</v>
      </c>
      <c r="K16" t="str">
        <v>Ms.Mỹ An</v>
      </c>
      <c r="N16" s="1">
        <v>3900000</v>
      </c>
      <c r="O16" s="1">
        <v>585000000</v>
      </c>
      <c r="P16" t="str">
        <v>Tháng 04</v>
      </c>
    </row>
    <row r="17" ht="12.75" customHeight="1">
      <c r="B17">
        <f>B16+1</f>
        <v>13</v>
      </c>
      <c r="C17" t="str">
        <v>CEO/PGD</v>
      </c>
      <c r="D17" t="str">
        <v>Hồng Trang</v>
      </c>
      <c r="E17" t="str">
        <v>Khác</v>
      </c>
      <c r="F17" t="str">
        <v>BOSCH EJV</v>
      </c>
      <c r="G17" t="str">
        <v>02/04/2026</v>
      </c>
      <c r="H17" t="str">
        <v>03/04/2026</v>
      </c>
      <c r="I17" t="str">
        <v>Bảo Lộc</v>
      </c>
      <c r="J17">
        <v>120</v>
      </c>
      <c r="N17" s="1">
        <v>3000000</v>
      </c>
      <c r="O17" s="1">
        <v>360000000</v>
      </c>
      <c r="P17" t="str">
        <v>Tháng 04</v>
      </c>
    </row>
    <row r="18" ht="12.75" customHeight="1">
      <c r="B18">
        <f>B17+1</f>
        <v>14</v>
      </c>
      <c r="C18" t="str">
        <v>CEO/PGD</v>
      </c>
      <c r="D18" t="str">
        <v>Hầu Hưng</v>
      </c>
      <c r="E18" t="str">
        <v>Khác</v>
      </c>
      <c r="F18" t="str">
        <v>BOSCH CTG</v>
      </c>
      <c r="G18" t="str">
        <v>10/04/2026</v>
      </c>
      <c r="H18" t="str">
        <v>12/04/2026</v>
      </c>
      <c r="I18" t="str">
        <v>PYEN-QNHON/VĨNH HY</v>
      </c>
      <c r="J18">
        <v>45</v>
      </c>
      <c r="N18" s="1">
        <v>3100000</v>
      </c>
      <c r="O18" s="1">
        <v>139500000</v>
      </c>
      <c r="P18" t="str">
        <v>Tháng 04</v>
      </c>
    </row>
    <row r="19" ht="12.75" customHeight="1">
      <c r="B19">
        <f>B18+1</f>
        <v>15</v>
      </c>
      <c r="C19" t="str">
        <v>CEO/PGD</v>
      </c>
      <c r="D19" t="str">
        <v>Hồng Trang</v>
      </c>
      <c r="E19" t="str">
        <v>Thành công</v>
      </c>
      <c r="F19" t="str">
        <v>CG RECORD</v>
      </c>
      <c r="G19" t="str">
        <v>21/04/2026</v>
      </c>
      <c r="H19" t="str">
        <v>25/04/2026</v>
      </c>
      <c r="I19" t="str">
        <v>Lệ Giang</v>
      </c>
      <c r="J19">
        <v>20</v>
      </c>
      <c r="N19" s="1">
        <v>20000000</v>
      </c>
      <c r="O19" s="1">
        <v>400000000</v>
      </c>
      <c r="P19" t="str">
        <v>Tháng 04</v>
      </c>
    </row>
    <row r="20" ht="12.75" customHeight="1">
      <c r="B20">
        <f>B19+1</f>
        <v>16</v>
      </c>
      <c r="C20" t="str">
        <v>CEO/PGD</v>
      </c>
      <c r="D20" t="str">
        <v>Hồng Trang</v>
      </c>
      <c r="E20" t="str">
        <v>Đang theo dõi</v>
      </c>
      <c r="F20" t="str">
        <v>BOSCH EPS</v>
      </c>
      <c r="G20" t="str">
        <v>24/04/2026</v>
      </c>
      <c r="H20" t="str">
        <v>26/04/2026</v>
      </c>
      <c r="I20" t="str">
        <v>Bảo Lộc</v>
      </c>
      <c r="J20">
        <v>120</v>
      </c>
      <c r="N20" s="1">
        <v>4450000</v>
      </c>
      <c r="O20" s="1">
        <v>534000000</v>
      </c>
      <c r="P20" t="str">
        <v>Tháng 04</v>
      </c>
    </row>
    <row r="21" ht="12.75" customHeight="1">
      <c r="B21">
        <f>B20+1</f>
        <v>17</v>
      </c>
      <c r="C21" t="str">
        <v>CEO/PGD</v>
      </c>
      <c r="D21" t="str">
        <v>Hoàng Hoa</v>
      </c>
      <c r="E21" t="str">
        <v>Khác</v>
      </c>
      <c r="F21" t="str">
        <v>KIỂM TOÁN EY</v>
      </c>
      <c r="G21" t="str">
        <v>22/04/2026</v>
      </c>
      <c r="H21" t="str">
        <v>24/04/2026</v>
      </c>
      <c r="I21" t="str">
        <v>Đà Nẵng</v>
      </c>
      <c r="J21">
        <v>41</v>
      </c>
      <c r="K21" t="str">
        <v>Ms.Nhạn</v>
      </c>
      <c r="N21" s="1">
        <v>10990000</v>
      </c>
      <c r="O21" s="1">
        <v>450590000</v>
      </c>
      <c r="P21" t="str">
        <v>Tháng 04</v>
      </c>
    </row>
    <row r="22" ht="12.75" customHeight="1">
      <c r="B22">
        <f>B21+1</f>
        <v>18</v>
      </c>
      <c r="C22" t="str">
        <v>CEO/PGD</v>
      </c>
      <c r="D22" t="str">
        <v>Vy Phan</v>
      </c>
      <c r="E22" t="str">
        <v>Thành công</v>
      </c>
      <c r="F22" t="str">
        <v>VIB BANK</v>
      </c>
      <c r="G22" t="str">
        <v>25/04/2026</v>
      </c>
      <c r="H22" t="str">
        <v>01/05/2026</v>
      </c>
      <c r="I22" t="str">
        <v>Châu Âu</v>
      </c>
      <c r="J22">
        <v>7</v>
      </c>
      <c r="N22" s="1">
        <v>98000000</v>
      </c>
      <c r="O22" s="1">
        <v>686000000</v>
      </c>
      <c r="P22" t="str">
        <v>Tháng 04</v>
      </c>
    </row>
    <row r="23" ht="12.75" customHeight="1">
      <c r="B23">
        <f>B22+1</f>
        <v>19</v>
      </c>
      <c r="C23" t="str">
        <v>CEO/PGD</v>
      </c>
      <c r="D23" t="str">
        <v>Hầu Hưng</v>
      </c>
      <c r="E23" t="str">
        <v>Thành công</v>
      </c>
      <c r="F23" t="str">
        <v>QBI</v>
      </c>
      <c r="G23" t="str">
        <v>31/03/2026</v>
      </c>
      <c r="H23" t="str">
        <v>04/04/2026</v>
      </c>
      <c r="I23" t="str">
        <v>Lệ Giang</v>
      </c>
      <c r="J23">
        <v>20</v>
      </c>
      <c r="N23" s="1">
        <v>19000000</v>
      </c>
      <c r="O23" s="1">
        <v>380000000</v>
      </c>
      <c r="P23" t="str">
        <v>Tháng 03</v>
      </c>
    </row>
    <row r="24" ht="12.75" customHeight="1">
      <c r="B24">
        <f>B23+1</f>
        <v>20</v>
      </c>
      <c r="C24" t="str">
        <v>CEO/PGD</v>
      </c>
      <c r="D24" t="str">
        <v>Hồng Trang</v>
      </c>
      <c r="E24" t="str">
        <v>Thành công</v>
      </c>
      <c r="F24" t="str">
        <v>BOSCH EAE</v>
      </c>
      <c r="G24" t="str">
        <v>15/05/2026</v>
      </c>
      <c r="H24" t="str">
        <v>17/05/2026</v>
      </c>
      <c r="I24" t="str">
        <v>Nha Trang</v>
      </c>
      <c r="J24">
        <v>100</v>
      </c>
      <c r="N24" s="1">
        <v>4800000</v>
      </c>
      <c r="O24" s="1">
        <v>480000000</v>
      </c>
      <c r="P24" t="str">
        <v>Tháng 05</v>
      </c>
    </row>
    <row r="25" ht="12.75" customHeight="1">
      <c r="B25">
        <f>B24+1</f>
        <v>21</v>
      </c>
      <c r="C25" t="str">
        <v>CEO/PGD</v>
      </c>
      <c r="D25" t="str">
        <v>Hoàng Hoa</v>
      </c>
      <c r="E25" t="str">
        <v>Đang theo dõi</v>
      </c>
      <c r="F25" t="str">
        <v>BOSCH QMM</v>
      </c>
      <c r="G25" t="str">
        <v>16/05/2026</v>
      </c>
      <c r="H25" t="str">
        <v>17/05/2026</v>
      </c>
      <c r="I25" t="str">
        <v>Vũng Tàu</v>
      </c>
      <c r="J25">
        <v>40</v>
      </c>
      <c r="K25" t="str">
        <v>Ms. Quỳnh Anh</v>
      </c>
      <c r="N25" s="1">
        <v>4100000</v>
      </c>
      <c r="O25" s="1">
        <v>164000000</v>
      </c>
      <c r="P25" t="str">
        <v>Tháng 05</v>
      </c>
    </row>
    <row r="26" ht="12.75" customHeight="1">
      <c r="B26">
        <f>B25+1</f>
        <v>22</v>
      </c>
      <c r="C26" t="str">
        <v>CEO/PGD</v>
      </c>
      <c r="D26" t="str">
        <v>Hầu Hưng</v>
      </c>
      <c r="E26" t="str">
        <v>Đang theo dõi</v>
      </c>
      <c r="F26" t="str">
        <v>CONTINENTAL</v>
      </c>
      <c r="G26" t="str">
        <v>23/05/2026</v>
      </c>
      <c r="H26" t="str">
        <v>27/05/2026</v>
      </c>
      <c r="I26" t="str">
        <v>Thái Lan</v>
      </c>
      <c r="J26">
        <v>40</v>
      </c>
      <c r="N26" s="1">
        <v>23000000</v>
      </c>
      <c r="O26" s="1">
        <v>920000000</v>
      </c>
      <c r="P26" t="str">
        <v>Tháng 05</v>
      </c>
    </row>
    <row r="27" ht="12.75" customHeight="1">
      <c r="B27">
        <f>B26+1</f>
        <v>23</v>
      </c>
      <c r="C27" t="str">
        <v>Cá nhân</v>
      </c>
      <c r="D27" t="str">
        <v>Hoàng Hoa</v>
      </c>
      <c r="E27" t="str">
        <v>Đang theo dõi</v>
      </c>
      <c r="F27" t="str">
        <v>DNP Shipping</v>
      </c>
      <c r="G27" t="str">
        <v>30/04/2026</v>
      </c>
      <c r="H27" t="str">
        <v>03/05/2026</v>
      </c>
      <c r="I27" t="str">
        <v>Campuchia</v>
      </c>
      <c r="J27">
        <v>30</v>
      </c>
      <c r="N27" s="1">
        <v>9590000</v>
      </c>
      <c r="O27" s="1">
        <v>287700000</v>
      </c>
      <c r="P27" t="str">
        <v>Tháng 04</v>
      </c>
    </row>
    <row r="28" ht="12.75" customHeight="1">
      <c r="B28">
        <f>B27+1</f>
        <v>24</v>
      </c>
      <c r="C28" t="str">
        <v>CEO/PGD</v>
      </c>
      <c r="D28" t="str">
        <v>Hồng Trang</v>
      </c>
      <c r="E28" t="str">
        <v>Đang theo dõi</v>
      </c>
      <c r="F28" t="str">
        <v>VIETCOMBANK</v>
      </c>
      <c r="G28" t="str">
        <v/>
      </c>
      <c r="I28" t="str">
        <v>Nhật Bản</v>
      </c>
      <c r="J28">
        <v>20</v>
      </c>
      <c r="N28" s="1">
        <v>20000000</v>
      </c>
      <c r="O28" s="1">
        <v>400000000</v>
      </c>
      <c r="P28" t="str">
        <v>Tháng 10</v>
      </c>
    </row>
    <row r="29" ht="12.75" customHeight="1">
      <c r="B29">
        <f>B28+1</f>
        <v>25</v>
      </c>
      <c r="C29" t="str">
        <v>CEO/PGD</v>
      </c>
      <c r="D29" t="str">
        <v>Vy Phan</v>
      </c>
      <c r="E29" t="str">
        <v>Thành công</v>
      </c>
      <c r="F29" t="str">
        <v>VIB BANK</v>
      </c>
      <c r="G29" t="str">
        <v>01/09/2026</v>
      </c>
      <c r="H29" t="str">
        <v>04/09/2026</v>
      </c>
      <c r="I29" t="str">
        <v>Hàn Quốc</v>
      </c>
      <c r="J29">
        <v>7</v>
      </c>
      <c r="N29" s="1">
        <v>15000000</v>
      </c>
      <c r="O29" s="1">
        <v>105000000</v>
      </c>
      <c r="P29" t="str">
        <v>Tháng 09</v>
      </c>
    </row>
    <row r="30" ht="12.75" customHeight="1">
      <c r="B30">
        <f>B29+1</f>
        <v>26</v>
      </c>
      <c r="C30" t="str">
        <v>CEO/PGD</v>
      </c>
      <c r="D30" t="str">
        <v>Hồng Trang</v>
      </c>
      <c r="E30" t="str">
        <v>Đang theo dõi</v>
      </c>
      <c r="F30" t="str">
        <v>BOSCH EAS</v>
      </c>
      <c r="G30" t="str">
        <v>17/04/2026</v>
      </c>
      <c r="H30" t="str">
        <v>19/04/2026</v>
      </c>
      <c r="I30" t="str">
        <v>Đà Lạt</v>
      </c>
      <c r="J30">
        <v>200</v>
      </c>
      <c r="N30" s="1">
        <v>3850000</v>
      </c>
      <c r="O30" s="1">
        <v>770000000</v>
      </c>
      <c r="P30" t="str">
        <v>Tháng 09</v>
      </c>
    </row>
    <row r="31" ht="12.75" customHeight="1">
      <c r="B31">
        <f>B30+1</f>
        <v>27</v>
      </c>
      <c r="C31" t="str">
        <v>CEO/PGD</v>
      </c>
      <c r="D31" t="str">
        <v>Hoàng Hoa</v>
      </c>
      <c r="E31" t="str">
        <v>Đang theo dõi</v>
      </c>
      <c r="F31" t="str">
        <v>BOSCH EVN</v>
      </c>
      <c r="G31" t="str">
        <v>18/04/2026</v>
      </c>
      <c r="H31" t="str">
        <v>19/04/2026</v>
      </c>
      <c r="I31" t="str">
        <v>Vũng Tàu</v>
      </c>
      <c r="J31">
        <v>40</v>
      </c>
      <c r="N31" s="1">
        <v>4500000</v>
      </c>
      <c r="O31" s="1">
        <v>180000000</v>
      </c>
      <c r="P31" t="str">
        <v>Tháng 06</v>
      </c>
    </row>
    <row r="32" ht="12.75" customHeight="1">
      <c r="B32">
        <f>B31+1</f>
        <v>28</v>
      </c>
      <c r="C32" t="str">
        <v>CEO/PGD</v>
      </c>
      <c r="D32" t="str">
        <v>Hoàng Hoa</v>
      </c>
      <c r="E32" t="str">
        <v>Khác</v>
      </c>
      <c r="F32" t="str">
        <v>Kiểm TOÁN EY</v>
      </c>
      <c r="G32" t="str">
        <v>11/04/2026</v>
      </c>
      <c r="H32" t="str">
        <v>13/04/2026</v>
      </c>
      <c r="I32" t="str">
        <v>Phú Quốc</v>
      </c>
      <c r="J32">
        <v>9</v>
      </c>
      <c r="N32" s="1">
        <v>6000000</v>
      </c>
      <c r="O32" s="1">
        <v>54000000</v>
      </c>
      <c r="P32" t="str">
        <v>Tháng 04</v>
      </c>
    </row>
    <row r="33" ht="12.75" customHeight="1">
      <c r="B33">
        <f>B32+1</f>
        <v>29</v>
      </c>
      <c r="C33" t="str">
        <v>CEO/PGD</v>
      </c>
      <c r="D33" t="str">
        <v>Hoàng Hoa</v>
      </c>
      <c r="E33" t="str">
        <v>Khác</v>
      </c>
      <c r="F33" t="str">
        <v>LOGISTIC</v>
      </c>
      <c r="G33" t="str">
        <v>03/04/2026</v>
      </c>
      <c r="H33" t="str">
        <v>05/04/2026</v>
      </c>
      <c r="I33" t="str">
        <v>ĐÀ LẠT 3N2Đ</v>
      </c>
      <c r="J33">
        <v>15</v>
      </c>
      <c r="K33" t="str">
        <v>Linh Nhi</v>
      </c>
      <c r="L33" t="str">
        <v>033638857</v>
      </c>
      <c r="N33" s="1">
        <v>3000000</v>
      </c>
      <c r="O33" s="1">
        <v>45000000</v>
      </c>
      <c r="P33" t="str">
        <v>Tháng 04</v>
      </c>
    </row>
    <row r="34" ht="12.75" customHeight="1">
      <c r="B34">
        <f>B33+1</f>
        <v>30</v>
      </c>
      <c r="C34" t="str">
        <v>CEO/PGD</v>
      </c>
      <c r="D34" t="str">
        <v>Hồng Trang</v>
      </c>
      <c r="E34" t="str">
        <v>Đang theo dõi</v>
      </c>
      <c r="F34" t="str">
        <v>VLXD Việt trung</v>
      </c>
      <c r="G34" t="str">
        <v>23/07/2026</v>
      </c>
      <c r="I34" t="str">
        <v>Phú Quốc</v>
      </c>
      <c r="J34">
        <v>70</v>
      </c>
      <c r="N34" s="1">
        <v>12000000</v>
      </c>
      <c r="O34" s="1">
        <v>840000000</v>
      </c>
      <c r="P34" t="str">
        <v>Tháng 07</v>
      </c>
    </row>
    <row r="35" ht="12.75" customHeight="1">
      <c r="B35">
        <f>B34+1</f>
        <v>31</v>
      </c>
      <c r="C35" t="str">
        <v>CEO/PGD</v>
      </c>
      <c r="D35" t="str">
        <v>Hầu Hưng</v>
      </c>
      <c r="E35" t="str">
        <v>Đang theo dõi</v>
      </c>
      <c r="F35" t="str">
        <v>BOSCH ECA</v>
      </c>
      <c r="G35" t="str">
        <v/>
      </c>
      <c r="I35" t="str">
        <v>Bảo Lộc</v>
      </c>
      <c r="J35">
        <v>100</v>
      </c>
      <c r="N35" s="1">
        <v>3100000</v>
      </c>
      <c r="O35" s="1">
        <v>310000000</v>
      </c>
      <c r="P35" t="str">
        <v>Tháng 06</v>
      </c>
    </row>
    <row r="36" ht="12.75" customHeight="1">
      <c r="B36">
        <f>B35+1</f>
        <v>32</v>
      </c>
      <c r="C36" t="str">
        <v>CEO/PGD</v>
      </c>
      <c r="D36" t="str">
        <v>Hoàng Hoa</v>
      </c>
      <c r="E36" t="str">
        <v>Đang theo dõi</v>
      </c>
      <c r="F36" t="str">
        <v>SKY DATA</v>
      </c>
      <c r="G36" t="str">
        <v/>
      </c>
      <c r="I36" t="str">
        <v>Bali</v>
      </c>
      <c r="J36">
        <v>60</v>
      </c>
      <c r="K36" t="str">
        <v>Ms. Phương</v>
      </c>
      <c r="N36" s="1">
        <v>27000000</v>
      </c>
      <c r="O36" s="1">
        <v>1620000000</v>
      </c>
      <c r="P36" t="str">
        <v>Tháng 06</v>
      </c>
    </row>
    <row r="37" ht="12.75" customHeight="1">
      <c r="B37">
        <f>B36+1</f>
        <v>33</v>
      </c>
      <c r="C37" t="str">
        <v>CEO/PGD</v>
      </c>
      <c r="D37" t="str">
        <v>Hoàng Hoa</v>
      </c>
      <c r="E37" t="str">
        <v>Khác</v>
      </c>
      <c r="F37" t="str">
        <v>GĐ chị Hà</v>
      </c>
      <c r="G37" t="str">
        <v/>
      </c>
      <c r="I37" t="str">
        <v>Trung Quốc</v>
      </c>
      <c r="J37">
        <v>5</v>
      </c>
      <c r="N37" s="1">
        <v>15000000</v>
      </c>
      <c r="O37" s="1">
        <v>75000000</v>
      </c>
      <c r="P37" t="str">
        <v>Tháng 04</v>
      </c>
    </row>
    <row r="38" ht="12.75" customHeight="1">
      <c r="B38">
        <f>B37+1</f>
        <v>34</v>
      </c>
      <c r="C38" t="str">
        <v>CEO/PGD</v>
      </c>
      <c r="D38" t="str">
        <v>Vy Phan</v>
      </c>
      <c r="E38" t="str">
        <v>Thành công</v>
      </c>
      <c r="F38" t="str">
        <v>Dược Phẩm Nhất Nhất</v>
      </c>
      <c r="G38" t="str">
        <v>20/05/2026</v>
      </c>
      <c r="H38" t="str">
        <v>24/05/2026</v>
      </c>
      <c r="I38" t="str">
        <v>Cam Ranh</v>
      </c>
      <c r="J38">
        <v>300</v>
      </c>
      <c r="N38" s="1">
        <v>8000000</v>
      </c>
      <c r="O38" s="1">
        <v>2400000000</v>
      </c>
      <c r="P38" t="str">
        <v>Tháng 05</v>
      </c>
    </row>
    <row r="39" ht="12.75" customHeight="1">
      <c r="B39">
        <f>B38+1</f>
        <v>35</v>
      </c>
      <c r="C39" t="str">
        <v>CEO/PGD</v>
      </c>
      <c r="D39" t="str">
        <v>Hoàng Hoa</v>
      </c>
      <c r="E39" t="str">
        <v>Thành công</v>
      </c>
      <c r="F39" t="str">
        <v>Nhóm bạn chị Cellin</v>
      </c>
      <c r="G39" t="str">
        <v/>
      </c>
      <c r="I39" t="str">
        <v>Trung Quốc</v>
      </c>
      <c r="J39">
        <v>12</v>
      </c>
      <c r="N39" s="1">
        <v>31500000</v>
      </c>
      <c r="O39" s="1">
        <v>378000000</v>
      </c>
      <c r="P39" t="str">
        <v>Tháng 04</v>
      </c>
    </row>
    <row r="40" ht="12.75" customHeight="1">
      <c r="B40">
        <f>B39+1</f>
        <v>36</v>
      </c>
      <c r="C40" t="str">
        <v>CEO/PGD</v>
      </c>
      <c r="D40" t="str">
        <v>Hầu Hưng</v>
      </c>
      <c r="E40" t="str">
        <v>Đang theo dõi</v>
      </c>
      <c r="F40" t="str">
        <v>Gia đình cô Kim Hoàng</v>
      </c>
      <c r="G40" t="str">
        <v>03/08/2026</v>
      </c>
      <c r="H40" t="str">
        <v>15/08/2026</v>
      </c>
      <c r="I40" t="str">
        <v>Trung Quốc</v>
      </c>
      <c r="O40" s="1">
        <v>0</v>
      </c>
      <c r="P40" t="str">
        <v>Tháng 08</v>
      </c>
    </row>
    <row r="41" ht="12.75" customHeight="1">
      <c r="B41">
        <f>B40+1</f>
        <v>37</v>
      </c>
      <c r="C41" t="str">
        <v>CEO/PGD</v>
      </c>
      <c r="D41" t="str">
        <v>Hầu Hưng</v>
      </c>
      <c r="E41" t="str">
        <v>Đang theo dõi</v>
      </c>
      <c r="F41" t="str">
        <v>Bosch Miền Bắc</v>
      </c>
      <c r="G41" t="str">
        <v/>
      </c>
      <c r="I41" t="str">
        <v>Hạ Long</v>
      </c>
      <c r="J41">
        <v>200</v>
      </c>
      <c r="N41" s="1">
        <v>3000000</v>
      </c>
      <c r="O41" s="1">
        <v>600000000</v>
      </c>
      <c r="P41" t="str">
        <v>Tháng 06</v>
      </c>
    </row>
    <row r="42" ht="12.75" customHeight="1">
      <c r="B42">
        <f>B41+1</f>
        <v>38</v>
      </c>
      <c r="C42" t="str">
        <v>Cá nhân</v>
      </c>
      <c r="D42" t="str">
        <v>Thị Trang</v>
      </c>
      <c r="E42" t="str">
        <v>Thành công</v>
      </c>
      <c r="F42" t="str">
        <v>CTY Hưng Phát</v>
      </c>
      <c r="G42" t="str">
        <v>09/05/2026</v>
      </c>
      <c r="H42" t="str">
        <v>11/05/2026</v>
      </c>
      <c r="I42" t="str">
        <v>Phú Quốc</v>
      </c>
      <c r="J42">
        <v>1</v>
      </c>
      <c r="N42" s="1">
        <v>131740000</v>
      </c>
      <c r="O42" s="1">
        <v>131740000</v>
      </c>
      <c r="P42" t="str">
        <v>Tháng 05</v>
      </c>
    </row>
    <row r="43" ht="12.75" customHeight="1">
      <c r="B43">
        <f>B42+1</f>
        <v>39</v>
      </c>
      <c r="C43" t="str">
        <v>CEO/PGD</v>
      </c>
      <c r="D43" t="str">
        <v>Hoàng Hoa</v>
      </c>
      <c r="E43" t="str">
        <v>Báo giá</v>
      </c>
      <c r="F43" t="str">
        <v>JEBSEN &amp; JESSEN</v>
      </c>
      <c r="G43" t="str">
        <v/>
      </c>
      <c r="I43" t="str">
        <v>Trung Quốc</v>
      </c>
      <c r="J43">
        <v>38</v>
      </c>
      <c r="N43" s="1">
        <v>15000000</v>
      </c>
      <c r="O43" s="1">
        <v>570000000</v>
      </c>
      <c r="P43" t="str">
        <v>Tháng 06</v>
      </c>
    </row>
    <row r="44" ht="12.75" customHeight="1">
      <c r="B44">
        <f>B43+1</f>
        <v>40</v>
      </c>
      <c r="C44" t="str">
        <v>CEO/PGD</v>
      </c>
      <c r="D44" t="str">
        <v>Hồng Trang</v>
      </c>
      <c r="E44" t="str">
        <v>Báo giá</v>
      </c>
      <c r="F44" t="str">
        <v>VP Bank</v>
      </c>
      <c r="G44" t="str">
        <v/>
      </c>
      <c r="I44" t="str">
        <v>Trung Quốc</v>
      </c>
      <c r="J44">
        <v>20</v>
      </c>
      <c r="N44" s="1">
        <v>6000000</v>
      </c>
      <c r="O44" s="1">
        <v>120000000</v>
      </c>
      <c r="P44" t="str">
        <v>Tháng 04</v>
      </c>
    </row>
    <row r="45" ht="12.75" customHeight="1">
      <c r="B45">
        <f>B44+1</f>
        <v>41</v>
      </c>
      <c r="C45" t="str">
        <v>CEO/PGD</v>
      </c>
      <c r="D45" t="str">
        <v>Hồng Trang</v>
      </c>
      <c r="E45" t="str">
        <v>Đang theo dõi</v>
      </c>
      <c r="F45" t="str">
        <v>Insee Nam Cát Tiên</v>
      </c>
      <c r="G45" t="str">
        <v/>
      </c>
      <c r="I45" t="str">
        <v>Nam Cát Tiên</v>
      </c>
      <c r="J45">
        <v>10</v>
      </c>
      <c r="N45" s="1">
        <v>5500000</v>
      </c>
      <c r="O45" s="1">
        <v>55000000</v>
      </c>
      <c r="P45" t="str">
        <v>Tháng 06</v>
      </c>
    </row>
    <row r="46" ht="12.75" customHeight="1">
      <c r="B46">
        <f>B45+1</f>
        <v>42</v>
      </c>
      <c r="C46" t="str">
        <v>CEO/PGD</v>
      </c>
      <c r="D46" t="str">
        <v>Hoàng Hoa</v>
      </c>
      <c r="E46" t="str">
        <v>Đang theo dõi</v>
      </c>
      <c r="F46" t="str">
        <v>BOSCH HRL</v>
      </c>
      <c r="G46" t="str">
        <v/>
      </c>
      <c r="I46" t="str">
        <v>Miền Tây</v>
      </c>
      <c r="J46">
        <v>25</v>
      </c>
      <c r="N46" s="1">
        <v>4090000</v>
      </c>
      <c r="O46" s="1">
        <v>102250000</v>
      </c>
      <c r="P46" t="str">
        <v>Tháng 04</v>
      </c>
    </row>
    <row r="47" ht="12.75" customHeight="1">
      <c r="B47">
        <f>B46+1</f>
        <v>43</v>
      </c>
      <c r="C47" t="str">
        <v>CEO/PGD</v>
      </c>
      <c r="D47" t="str">
        <v>Hoàng Hoa</v>
      </c>
      <c r="E47" t="str">
        <v>Thành công</v>
      </c>
      <c r="F47" t="str">
        <v>Nhóm bạn anh Thái Bình</v>
      </c>
      <c r="G47" t="str">
        <v/>
      </c>
      <c r="I47" t="str">
        <v>Trung Quốc</v>
      </c>
      <c r="J47">
        <v>10</v>
      </c>
      <c r="N47" s="1">
        <v>43600000</v>
      </c>
      <c r="O47" s="1">
        <v>436000000</v>
      </c>
      <c r="P47" t="str">
        <v>Tháng 04</v>
      </c>
    </row>
    <row r="48" ht="12.75" customHeight="1">
      <c r="B48">
        <f>B47+1</f>
        <v>44</v>
      </c>
      <c r="C48" t="str">
        <v>CEO/PGD</v>
      </c>
      <c r="D48" t="str">
        <v>Hầu Hưng</v>
      </c>
      <c r="E48" t="str">
        <v>Đang theo dõi</v>
      </c>
      <c r="F48" t="str">
        <v>Cty Thái Kim Lợi</v>
      </c>
      <c r="G48" t="str">
        <v/>
      </c>
      <c r="I48" t="str">
        <v>Thái Lan</v>
      </c>
      <c r="J48">
        <v>11</v>
      </c>
      <c r="N48" s="1">
        <v>12000000</v>
      </c>
      <c r="O48" s="1">
        <v>132000000</v>
      </c>
      <c r="P48" t="str">
        <v>Tháng 05</v>
      </c>
    </row>
    <row r="49" ht="12.75" customHeight="1">
      <c r="B49">
        <f>B48+1</f>
        <v>45</v>
      </c>
      <c r="C49" t="str">
        <v>CEO/PGD</v>
      </c>
      <c r="D49" t="str">
        <v>Vy Phan</v>
      </c>
      <c r="E49" t="str">
        <v>Báo giá</v>
      </c>
      <c r="F49" t="str">
        <v>Insee Miền Trung</v>
      </c>
      <c r="G49" t="str">
        <v/>
      </c>
      <c r="O49" s="1">
        <v>0</v>
      </c>
    </row>
    <row r="50" ht="12.75" customHeight="1">
      <c r="B50">
        <f>B49+1</f>
        <v>46</v>
      </c>
      <c r="C50" t="str">
        <v>CEO/PGD</v>
      </c>
      <c r="D50" t="str">
        <v>Vy Phan</v>
      </c>
      <c r="E50" t="str">
        <v>Báo giá</v>
      </c>
      <c r="F50" t="str">
        <v>Insee Commercial</v>
      </c>
      <c r="G50" t="str">
        <v/>
      </c>
      <c r="O50" s="1">
        <v>0</v>
      </c>
    </row>
    <row r="51" ht="12.75" customHeight="1">
      <c r="B51">
        <f>B50+1</f>
        <v>47</v>
      </c>
      <c r="C51" t="str">
        <v>CEO/PGD</v>
      </c>
      <c r="D51" t="str">
        <v>Hoàng Hoa</v>
      </c>
      <c r="E51" t="str">
        <v>Báo giá</v>
      </c>
      <c r="F51" t="str">
        <v>Insee thầu</v>
      </c>
      <c r="G51" t="str">
        <v/>
      </c>
      <c r="J51">
        <v>15</v>
      </c>
      <c r="N51" s="1">
        <v>2000000</v>
      </c>
      <c r="O51" s="1">
        <v>30000000</v>
      </c>
      <c r="P51" t="str">
        <v>Tháng 05</v>
      </c>
    </row>
    <row r="52" ht="12.75" customHeight="1">
      <c r="A52" t="str">
        <v>Ms.Vy handle</v>
      </c>
      <c r="B52">
        <f>B51+1</f>
        <v>48</v>
      </c>
      <c r="C52" t="str">
        <v>CEO/PGD</v>
      </c>
      <c r="D52" t="str">
        <v>Hầu Hưng</v>
      </c>
      <c r="E52" t="str">
        <v>Báo giá</v>
      </c>
      <c r="F52" t="str">
        <v>Công ty TNHH Rize Vietnam</v>
      </c>
      <c r="G52" t="str">
        <v/>
      </c>
      <c r="I52" t="str">
        <v>Thái Lan</v>
      </c>
      <c r="J52">
        <v>60</v>
      </c>
      <c r="O52" s="1">
        <v>0</v>
      </c>
    </row>
    <row r="53" ht="12.75" customHeight="1">
      <c r="B53">
        <f>B52+1</f>
        <v>49</v>
      </c>
      <c r="C53" t="str">
        <v>CEO/PGD</v>
      </c>
      <c r="D53" t="str">
        <v>Hầu Hưng</v>
      </c>
      <c r="E53" t="str">
        <v>Báo giá</v>
      </c>
      <c r="F53" t="str">
        <v>Công ty Phát Kim Lợi</v>
      </c>
      <c r="G53" t="str">
        <v/>
      </c>
      <c r="I53" t="str">
        <v>Thái Lan</v>
      </c>
      <c r="J53">
        <v>16</v>
      </c>
      <c r="O53" s="1">
        <v>0</v>
      </c>
    </row>
    <row r="54" ht="12.75" customHeight="1">
      <c r="B54">
        <f>B53+1</f>
        <v>50</v>
      </c>
      <c r="C54" t="str">
        <v>Cá nhân</v>
      </c>
      <c r="D54" t="str">
        <v>Thị Trang</v>
      </c>
      <c r="E54" t="str">
        <v>Báo giá</v>
      </c>
      <c r="F54" t="str">
        <v>Inbound</v>
      </c>
      <c r="G54" t="str">
        <v>29/05/2026</v>
      </c>
      <c r="H54" t="str">
        <v>02/06/2026</v>
      </c>
      <c r="I54" t="str">
        <v>Miền Tây</v>
      </c>
      <c r="J54">
        <v>15</v>
      </c>
      <c r="K54" t="str">
        <v>Ms.Lin</v>
      </c>
      <c r="N54" s="1">
        <v>12950000</v>
      </c>
      <c r="O54" s="1">
        <v>194250000</v>
      </c>
      <c r="P54" t="str">
        <v>Tháng 05</v>
      </c>
    </row>
    <row r="55" ht="12.75" customHeight="1">
      <c r="B55">
        <f>B54+1</f>
        <v>51</v>
      </c>
      <c r="C55" t="str">
        <v>CEO/PGD</v>
      </c>
      <c r="D55" t="str">
        <v>Hoàng Hoa</v>
      </c>
      <c r="E55" t="str">
        <v>Báo giá</v>
      </c>
      <c r="F55" t="str">
        <v>Bất động sản Tuấn 123</v>
      </c>
      <c r="G55" t="str">
        <v/>
      </c>
      <c r="I55" t="str">
        <v>Malay</v>
      </c>
      <c r="J55">
        <v>150</v>
      </c>
      <c r="O55" s="1">
        <v>0</v>
      </c>
    </row>
    <row r="56" ht="12.75" customHeight="1">
      <c r="B56">
        <f>B55+1</f>
        <v>52</v>
      </c>
      <c r="C56" t="str">
        <v>CEO/PGD</v>
      </c>
      <c r="D56" t="str">
        <v>Thị Trang</v>
      </c>
      <c r="E56" t="str">
        <v>Báo giá</v>
      </c>
      <c r="F56" t="str">
        <v>Công ty gỗ / HDV Tài</v>
      </c>
      <c r="G56" t="str">
        <v/>
      </c>
      <c r="I56" t="str">
        <v>Đà Lạt</v>
      </c>
      <c r="J56">
        <v>30</v>
      </c>
      <c r="O56" s="1">
        <v>0</v>
      </c>
    </row>
    <row r="57" ht="12.75" customHeight="1">
      <c r="B57">
        <f>B56+1</f>
        <v>53</v>
      </c>
      <c r="C57" t="str">
        <v>CEO/PGD</v>
      </c>
      <c r="G57" t="str">
        <v/>
      </c>
    </row>
    <row r="58" ht="12.75" customHeight="1">
      <c r="B58">
        <f>B57+1</f>
        <v>54</v>
      </c>
      <c r="C58" t="str">
        <v>CEO/PGD</v>
      </c>
      <c r="G58" t="str">
        <v/>
      </c>
    </row>
    <row r="59" ht="12.75" customHeight="1">
      <c r="B59">
        <f>B58+1</f>
        <v>55</v>
      </c>
      <c r="C59" t="str">
        <v>CEO/PGD</v>
      </c>
      <c r="G59" t="str">
        <v/>
      </c>
    </row>
    <row r="60" ht="12.75" customHeight="1">
      <c r="B60">
        <f>B59+1</f>
        <v>56</v>
      </c>
      <c r="C60" t="str">
        <v>CEO/PGD</v>
      </c>
      <c r="G60" t="str">
        <v/>
      </c>
    </row>
    <row r="61" ht="12.75" customHeight="1">
      <c r="B61">
        <f>B60+1</f>
        <v>57</v>
      </c>
      <c r="C61" t="str">
        <v>CEO/PGD</v>
      </c>
      <c r="G61" t="str">
        <v/>
      </c>
    </row>
    <row r="62" ht="12.75" customHeight="1">
      <c r="B62">
        <f>B61+1</f>
        <v>58</v>
      </c>
      <c r="C62" t="str">
        <v>CEO/PGD</v>
      </c>
      <c r="G62" t="str">
        <v/>
      </c>
    </row>
    <row r="63" ht="12.75" customHeight="1">
      <c r="B63">
        <f>B62+1</f>
        <v>59</v>
      </c>
      <c r="C63" t="str">
        <v>CEO/PGD</v>
      </c>
      <c r="G63" t="str">
        <v/>
      </c>
    </row>
    <row r="64" ht="12.75" customHeight="1">
      <c r="B64">
        <f>B63+1</f>
        <v>60</v>
      </c>
      <c r="G64" t="str">
        <v/>
      </c>
    </row>
    <row r="65" ht="12.75" customHeight="1">
      <c r="B65">
        <f>B64+1</f>
        <v>61</v>
      </c>
      <c r="G65" t="str">
        <v/>
      </c>
    </row>
    <row r="66" ht="12.75" customHeight="1">
      <c r="B66">
        <f>B65+1</f>
        <v>62</v>
      </c>
      <c r="G66" t="str">
        <v/>
      </c>
    </row>
    <row r="67" ht="12.75" customHeight="1">
      <c r="B67">
        <f>B66+1</f>
        <v>63</v>
      </c>
      <c r="G67" t="str">
        <v/>
      </c>
    </row>
    <row r="68" ht="12.75" customHeight="1">
      <c r="B68">
        <f>B67+1</f>
        <v>64</v>
      </c>
      <c r="G68" t="str">
        <v/>
      </c>
    </row>
    <row r="69" ht="12.75" customHeight="1">
      <c r="B69">
        <f>B68+1</f>
        <v>65</v>
      </c>
      <c r="G69" t="str">
        <v/>
      </c>
    </row>
    <row r="70" ht="12.75" customHeight="1">
      <c r="B70">
        <f>B69+1</f>
        <v>66</v>
      </c>
      <c r="G70" t="str">
        <v/>
      </c>
    </row>
    <row r="71" ht="12.75" customHeight="1">
      <c r="B71">
        <f>B70+1</f>
        <v>67</v>
      </c>
      <c r="G71" t="str">
        <v/>
      </c>
    </row>
    <row r="72" ht="12.75" customHeight="1">
      <c r="B72">
        <f>B71+1</f>
        <v>68</v>
      </c>
      <c r="G72" t="str">
        <v/>
      </c>
    </row>
    <row r="73" ht="12.75" customHeight="1">
      <c r="G73" t="str">
        <v/>
      </c>
    </row>
    <row r="74" ht="12.75" customHeight="1">
      <c r="G74" t="str">
        <v/>
      </c>
    </row>
    <row r="75" ht="12.75" customHeight="1">
      <c r="G75" t="str">
        <v/>
      </c>
    </row>
    <row r="76" ht="12.75" customHeight="1">
      <c r="G76" t="str">
        <v/>
      </c>
    </row>
    <row r="77" ht="12.75" customHeight="1">
      <c r="G77" t="str">
        <v/>
      </c>
    </row>
    <row r="78" ht="12.75" customHeight="1">
      <c r="G78" t="str">
        <v/>
      </c>
    </row>
    <row r="79" ht="12.75" customHeight="1">
      <c r="G79" t="str">
        <v/>
      </c>
    </row>
    <row r="80" ht="12.75" customHeight="1">
      <c r="G80" t="str">
        <v/>
      </c>
    </row>
    <row r="81" ht="12.75" customHeight="1">
      <c r="G81" t="str">
        <v/>
      </c>
    </row>
    <row r="82" ht="12.75" customHeight="1">
      <c r="G82" t="str">
        <v/>
      </c>
    </row>
    <row r="83" ht="12.75" customHeight="1">
      <c r="G83" t="str">
        <v/>
      </c>
    </row>
    <row r="84" ht="12.75" customHeight="1">
      <c r="G84" t="str">
        <v/>
      </c>
    </row>
    <row r="85" ht="12.75" customHeight="1">
      <c r="G85" t="str">
        <v/>
      </c>
    </row>
    <row r="86" ht="12.75" customHeight="1">
      <c r="G86" t="str">
        <v/>
      </c>
    </row>
    <row r="87" ht="12.75" customHeight="1">
      <c r="G87" t="str">
        <v/>
      </c>
    </row>
    <row r="88" ht="12.75" customHeight="1">
      <c r="G88" t="str">
        <v/>
      </c>
    </row>
    <row r="89" ht="12.75" customHeight="1">
      <c r="G89" t="str">
        <v/>
      </c>
    </row>
    <row r="90" ht="12.75" customHeight="1">
      <c r="G90" t="str">
        <v/>
      </c>
    </row>
    <row r="91" ht="12.75" customHeight="1">
      <c r="G91" t="str">
        <v/>
      </c>
    </row>
    <row r="92" ht="12.75" customHeight="1">
      <c r="G92" t="str">
        <v/>
      </c>
    </row>
    <row r="93" ht="12.75" customHeight="1">
      <c r="G93" t="str">
        <v/>
      </c>
    </row>
    <row r="94" ht="12.75" customHeight="1">
      <c r="G94" t="str">
        <v/>
      </c>
    </row>
    <row r="95" ht="12.75" customHeight="1">
      <c r="G95" t="str">
        <v/>
      </c>
    </row>
    <row r="96" ht="12.75" customHeight="1">
      <c r="G96" t="str">
        <v/>
      </c>
    </row>
    <row r="97" ht="12.75" customHeight="1">
      <c r="G97" t="str">
        <v/>
      </c>
    </row>
    <row r="98" ht="12.75" customHeight="1">
      <c r="G98" t="str">
        <v/>
      </c>
    </row>
    <row r="99" ht="12.75" customHeight="1">
      <c r="G99" t="str">
        <v/>
      </c>
    </row>
    <row r="100" ht="12.75" customHeight="1">
      <c r="G100" t="str">
        <v/>
      </c>
    </row>
    <row r="101" ht="12.75" customHeight="1">
      <c r="G101" t="str">
        <v/>
      </c>
    </row>
    <row r="102" ht="12.75" customHeight="1">
      <c r="G102" t="str">
        <v/>
      </c>
    </row>
    <row r="103" ht="12.75" customHeight="1">
      <c r="G103" t="str">
        <v/>
      </c>
    </row>
    <row r="104" ht="12.75" customHeight="1">
      <c r="G104" t="str">
        <v/>
      </c>
    </row>
    <row r="105" ht="12.75" customHeight="1">
      <c r="G105" t="str">
        <v/>
      </c>
    </row>
    <row r="106" ht="12.75" customHeight="1">
      <c r="G106" t="str">
        <v/>
      </c>
    </row>
    <row r="107" ht="12.75" customHeight="1">
      <c r="G107" t="str">
        <v/>
      </c>
    </row>
    <row r="108" ht="12.75" customHeight="1">
      <c r="G108" t="str">
        <v/>
      </c>
    </row>
    <row r="109" ht="12.75" customHeight="1">
      <c r="G109" t="str">
        <v/>
      </c>
    </row>
    <row r="110" ht="12.75" customHeight="1">
      <c r="G110" t="str">
        <v/>
      </c>
    </row>
    <row r="111" ht="12.75" customHeight="1">
      <c r="G111" t="str">
        <v/>
      </c>
    </row>
    <row r="112" ht="12.75" customHeight="1">
      <c r="G112" t="str">
        <v/>
      </c>
    </row>
    <row r="113" ht="12.75" customHeight="1">
      <c r="G113" t="str">
        <v/>
      </c>
    </row>
    <row r="114" ht="12.75" customHeight="1">
      <c r="G114" t="str">
        <v/>
      </c>
    </row>
    <row r="115" ht="12.75" customHeight="1">
      <c r="G115" t="str">
        <v/>
      </c>
    </row>
    <row r="116" ht="12.75" customHeight="1">
      <c r="G116" t="str">
        <v/>
      </c>
    </row>
    <row r="117" ht="12.75" customHeight="1">
      <c r="G117" t="str">
        <v/>
      </c>
    </row>
    <row r="118" ht="12.75" customHeight="1">
      <c r="G118" t="str">
        <v/>
      </c>
    </row>
    <row r="119" ht="12.75" customHeight="1">
      <c r="G119" t="str">
        <v/>
      </c>
    </row>
    <row r="120" ht="12.75" customHeight="1">
      <c r="G120" t="str">
        <v/>
      </c>
    </row>
    <row r="121" ht="12.75" customHeight="1">
      <c r="G121" t="str">
        <v/>
      </c>
    </row>
    <row r="122" ht="12.75" customHeight="1">
      <c r="G122" t="str">
        <v/>
      </c>
    </row>
    <row r="123" ht="12.75" customHeight="1">
      <c r="G123" t="str">
        <v/>
      </c>
    </row>
    <row r="124" ht="12.75" customHeight="1">
      <c r="G124" t="str">
        <v/>
      </c>
    </row>
    <row r="125" ht="12.75" customHeight="1">
      <c r="G125" t="str">
        <v/>
      </c>
    </row>
    <row r="126" ht="12.75" customHeight="1">
      <c r="G126" t="str">
        <v/>
      </c>
    </row>
    <row r="127" ht="12.75" customHeight="1">
      <c r="G127" t="str">
        <v/>
      </c>
    </row>
    <row r="128" ht="12.75" customHeight="1">
      <c r="G128" t="str">
        <v/>
      </c>
    </row>
    <row r="129" ht="12.75" customHeight="1">
      <c r="G129" t="str">
        <v/>
      </c>
    </row>
    <row r="130" ht="12.75" customHeight="1">
      <c r="G130" t="str">
        <v/>
      </c>
    </row>
    <row r="131" ht="12.75" customHeight="1">
      <c r="G131" t="str">
        <v/>
      </c>
    </row>
    <row r="132" ht="12.75" customHeight="1">
      <c r="G132" t="str">
        <v/>
      </c>
    </row>
    <row r="133" ht="12.75" customHeight="1">
      <c r="G133" t="str">
        <v/>
      </c>
    </row>
    <row r="134" ht="12.75" customHeight="1">
      <c r="G134" t="str">
        <v/>
      </c>
    </row>
    <row r="135" ht="12.75" customHeight="1">
      <c r="G135" t="str">
        <v/>
      </c>
    </row>
    <row r="136" ht="12.75" customHeight="1">
      <c r="G136" t="str">
        <v/>
      </c>
    </row>
    <row r="137" ht="12.75" customHeight="1">
      <c r="G137" t="str">
        <v/>
      </c>
    </row>
    <row r="138" ht="12.75" customHeight="1">
      <c r="G138" t="str">
        <v/>
      </c>
    </row>
    <row r="139" ht="12.75" customHeight="1">
      <c r="G139" t="str">
        <v/>
      </c>
    </row>
    <row r="140" ht="12.75" customHeight="1">
      <c r="G140" t="str">
        <v/>
      </c>
    </row>
    <row r="141" ht="12.75" customHeight="1">
      <c r="G141" t="str">
        <v/>
      </c>
    </row>
    <row r="142" ht="12.75" customHeight="1">
      <c r="G142" t="str">
        <v/>
      </c>
    </row>
    <row r="143" ht="12.75" customHeight="1">
      <c r="G143" t="str">
        <v/>
      </c>
    </row>
    <row r="144" ht="12.75" customHeight="1">
      <c r="G144" t="str">
        <v/>
      </c>
    </row>
    <row r="145" ht="12.75" customHeight="1">
      <c r="G145" t="str">
        <v/>
      </c>
    </row>
    <row r="146" ht="12.75" customHeight="1">
      <c r="G146" t="str">
        <v/>
      </c>
    </row>
    <row r="147" ht="12.75" customHeight="1">
      <c r="G147" t="str">
        <v/>
      </c>
    </row>
    <row r="148" ht="12.75" customHeight="1">
      <c r="G148" t="str">
        <v/>
      </c>
    </row>
    <row r="149" ht="12.75" customHeight="1">
      <c r="G149" t="str">
        <v/>
      </c>
    </row>
    <row r="150" ht="12.75" customHeight="1">
      <c r="G150" t="str">
        <v/>
      </c>
    </row>
    <row r="151" ht="12.75" customHeight="1">
      <c r="G151" t="str">
        <v/>
      </c>
    </row>
    <row r="152" ht="12.75" customHeight="1">
      <c r="G152" t="str">
        <v/>
      </c>
    </row>
    <row r="153" ht="12.75" customHeight="1">
      <c r="G153" t="str">
        <v/>
      </c>
    </row>
    <row r="154" ht="12.75" customHeight="1">
      <c r="G154" t="str">
        <v/>
      </c>
    </row>
    <row r="155" ht="12.75" customHeight="1">
      <c r="G155" t="str">
        <v/>
      </c>
    </row>
    <row r="156" ht="12.75" customHeight="1">
      <c r="G156" t="str">
        <v/>
      </c>
    </row>
    <row r="157" ht="12.75" customHeight="1">
      <c r="G157" t="str">
        <v/>
      </c>
    </row>
    <row r="158" ht="12.75" customHeight="1">
      <c r="G158" t="str">
        <v/>
      </c>
    </row>
    <row r="159" ht="12.75" customHeight="1">
      <c r="G159" t="str">
        <v/>
      </c>
    </row>
    <row r="160" ht="12.75" customHeight="1">
      <c r="G160" t="str">
        <v/>
      </c>
    </row>
    <row r="161" ht="12.75" customHeight="1">
      <c r="G161" t="str">
        <v/>
      </c>
    </row>
    <row r="162" ht="12.75" customHeight="1">
      <c r="G162" t="str">
        <v/>
      </c>
    </row>
    <row r="163" ht="12.75" customHeight="1">
      <c r="G163" t="str">
        <v/>
      </c>
    </row>
    <row r="164" ht="12.75" customHeight="1">
      <c r="G164" t="str">
        <v/>
      </c>
    </row>
    <row r="165" ht="12.75" customHeight="1">
      <c r="G165" t="str">
        <v/>
      </c>
    </row>
    <row r="166" ht="12.75" customHeight="1">
      <c r="G166" t="str">
        <v/>
      </c>
    </row>
    <row r="167" ht="12.75" customHeight="1">
      <c r="G167" t="str">
        <v/>
      </c>
    </row>
    <row r="168" ht="12.75" customHeight="1">
      <c r="G168" t="str">
        <v/>
      </c>
    </row>
    <row r="169" ht="12.75" customHeight="1">
      <c r="G169" t="str">
        <v/>
      </c>
    </row>
    <row r="170" ht="12.75" customHeight="1">
      <c r="G170" t="str">
        <v/>
      </c>
    </row>
    <row r="171" ht="12.75" customHeight="1">
      <c r="G171" t="str">
        <v/>
      </c>
    </row>
    <row r="172" ht="12.75" customHeight="1">
      <c r="G172" t="str">
        <v/>
      </c>
    </row>
    <row r="173" ht="12.75" customHeight="1">
      <c r="G173" t="str">
        <v/>
      </c>
    </row>
    <row r="174" ht="12.75" customHeight="1">
      <c r="G174" t="str">
        <v/>
      </c>
    </row>
    <row r="175" ht="12.75" customHeight="1">
      <c r="G175" t="str">
        <v/>
      </c>
    </row>
    <row r="176" ht="12.75" customHeight="1">
      <c r="G176" t="str">
        <v/>
      </c>
    </row>
    <row r="177" ht="12.75" customHeight="1">
      <c r="G177" t="str">
        <v/>
      </c>
    </row>
    <row r="178" ht="12.75" customHeight="1">
      <c r="G178" t="str">
        <v/>
      </c>
    </row>
    <row r="179" ht="12.75" customHeight="1">
      <c r="G179" t="str">
        <v/>
      </c>
    </row>
    <row r="180" ht="12.75" customHeight="1">
      <c r="G180" t="str">
        <v/>
      </c>
    </row>
    <row r="181" ht="12.75" customHeight="1">
      <c r="G181" t="str">
        <v/>
      </c>
    </row>
    <row r="182" ht="12.75" customHeight="1">
      <c r="G182" t="str">
        <v/>
      </c>
    </row>
    <row r="183" ht="12.75" customHeight="1">
      <c r="G183" t="str">
        <v/>
      </c>
    </row>
    <row r="184" ht="12.75" customHeight="1">
      <c r="G184" t="str">
        <v/>
      </c>
    </row>
    <row r="185" ht="12.75" customHeight="1">
      <c r="G185" t="str">
        <v/>
      </c>
    </row>
    <row r="186" ht="12.75" customHeight="1">
      <c r="G186" t="str">
        <v/>
      </c>
    </row>
    <row r="187" ht="12.75" customHeight="1">
      <c r="G187" t="str">
        <v/>
      </c>
    </row>
    <row r="188" ht="12.75" customHeight="1">
      <c r="G188" t="str">
        <v/>
      </c>
    </row>
    <row r="189" ht="12.75" customHeight="1">
      <c r="G189" t="str">
        <v/>
      </c>
    </row>
    <row r="190" ht="12.75" customHeight="1">
      <c r="G190" t="str">
        <v/>
      </c>
    </row>
    <row r="191" ht="12.75" customHeight="1">
      <c r="G191" t="str">
        <v/>
      </c>
    </row>
    <row r="192" ht="12.75" customHeight="1">
      <c r="G192" t="str">
        <v/>
      </c>
    </row>
    <row r="193" ht="12.75" customHeight="1">
      <c r="G193" t="str">
        <v/>
      </c>
    </row>
    <row r="194" ht="12.75" customHeight="1">
      <c r="G194" t="str">
        <v/>
      </c>
    </row>
    <row r="195" ht="12.75" customHeight="1">
      <c r="G195" t="str">
        <v/>
      </c>
    </row>
    <row r="196" ht="12.75" customHeight="1">
      <c r="G196" t="str">
        <v/>
      </c>
    </row>
    <row r="197" ht="12.75" customHeight="1">
      <c r="G197" t="str">
        <v/>
      </c>
    </row>
    <row r="198" ht="12.75" customHeight="1">
      <c r="G198" t="str">
        <v/>
      </c>
    </row>
    <row r="199" ht="12.75" customHeight="1">
      <c r="G199" t="str">
        <v/>
      </c>
    </row>
    <row r="200" ht="12.75" customHeight="1">
      <c r="G200" t="str">
        <v/>
      </c>
    </row>
    <row r="201" ht="12.75" customHeight="1">
      <c r="G201" t="str">
        <v/>
      </c>
    </row>
    <row r="202" ht="12.75" customHeight="1">
      <c r="G202" t="str">
        <v/>
      </c>
    </row>
    <row r="203" ht="12.75" customHeight="1">
      <c r="G203" t="str">
        <v/>
      </c>
    </row>
    <row r="204" ht="12.75" customHeight="1">
      <c r="G204" t="str">
        <v/>
      </c>
    </row>
    <row r="205" ht="12.75" customHeight="1">
      <c r="G205" t="str">
        <v/>
      </c>
    </row>
    <row r="206" ht="12.75" customHeight="1">
      <c r="G206" t="str">
        <v/>
      </c>
    </row>
    <row r="207" ht="12.75" customHeight="1">
      <c r="G207" t="str">
        <v/>
      </c>
    </row>
    <row r="208" ht="12.75" customHeight="1">
      <c r="G208" t="str">
        <v/>
      </c>
    </row>
    <row r="209" ht="12.75" customHeight="1">
      <c r="G209" t="str">
        <v/>
      </c>
    </row>
    <row r="210" ht="12.75" customHeight="1">
      <c r="G210" t="str">
        <v/>
      </c>
    </row>
    <row r="211" ht="12.75" customHeight="1">
      <c r="G211" t="str">
        <v/>
      </c>
    </row>
    <row r="212" ht="12.75" customHeight="1">
      <c r="G212" t="str">
        <v/>
      </c>
    </row>
    <row r="213" ht="12.75" customHeight="1">
      <c r="G213" t="str">
        <v/>
      </c>
    </row>
    <row r="214" ht="12.75" customHeight="1">
      <c r="G214" t="str">
        <v/>
      </c>
    </row>
    <row r="215" ht="12.75" customHeight="1">
      <c r="G215" t="str">
        <v/>
      </c>
    </row>
    <row r="216" ht="12.75" customHeight="1">
      <c r="G216" t="str">
        <v/>
      </c>
    </row>
    <row r="217" ht="12.75" customHeight="1">
      <c r="G217" t="str">
        <v/>
      </c>
    </row>
    <row r="218" ht="12.75" customHeight="1">
      <c r="G218" t="str">
        <v/>
      </c>
    </row>
    <row r="219" ht="12.75" customHeight="1">
      <c r="G219" t="str">
        <v/>
      </c>
    </row>
    <row r="220" ht="12.75" customHeight="1">
      <c r="G220" t="str">
        <v/>
      </c>
    </row>
    <row r="221" ht="12.75" customHeight="1">
      <c r="G221" t="str">
        <v/>
      </c>
    </row>
    <row r="222" ht="12.75" customHeight="1">
      <c r="G222" t="str">
        <v/>
      </c>
    </row>
    <row r="223" ht="12.75" customHeight="1">
      <c r="G223" t="str">
        <v/>
      </c>
    </row>
    <row r="224" ht="12.75" customHeight="1">
      <c r="G224" t="str">
        <v/>
      </c>
    </row>
    <row r="225" ht="12.75" customHeight="1">
      <c r="G225" t="str">
        <v/>
      </c>
    </row>
    <row r="226" ht="12.75" customHeight="1">
      <c r="G226" t="str">
        <v/>
      </c>
    </row>
    <row r="227" ht="12.75" customHeight="1">
      <c r="G227" t="str">
        <v/>
      </c>
    </row>
    <row r="228" ht="12.75" customHeight="1">
      <c r="G228" t="str">
        <v/>
      </c>
    </row>
    <row r="229" ht="12.75" customHeight="1">
      <c r="G229" t="str">
        <v/>
      </c>
    </row>
    <row r="230" ht="12.75" customHeight="1">
      <c r="G230" t="str">
        <v/>
      </c>
    </row>
    <row r="231" ht="12.75" customHeight="1">
      <c r="G231" t="str">
        <v/>
      </c>
    </row>
    <row r="232" ht="12.75" customHeight="1">
      <c r="G232" t="str">
        <v/>
      </c>
    </row>
    <row r="233" ht="12.75" customHeight="1">
      <c r="G233" t="str">
        <v/>
      </c>
    </row>
    <row r="234" ht="12.75" customHeight="1">
      <c r="G234" t="str">
        <v/>
      </c>
    </row>
    <row r="235" ht="12.75" customHeight="1">
      <c r="G235" t="str">
        <v/>
      </c>
    </row>
    <row r="236" ht="12.75" customHeight="1">
      <c r="G236" t="str">
        <v/>
      </c>
    </row>
    <row r="237" ht="12.75" customHeight="1">
      <c r="G237" t="str">
        <v/>
      </c>
    </row>
    <row r="238" ht="12.75" customHeight="1">
      <c r="G238" t="str">
        <v/>
      </c>
    </row>
    <row r="239" ht="12.75" customHeight="1">
      <c r="G239" t="str">
        <v/>
      </c>
    </row>
    <row r="240" ht="12.75" customHeight="1">
      <c r="G240" t="str">
        <v/>
      </c>
    </row>
    <row r="241" ht="12.75" customHeight="1">
      <c r="G241" t="str">
        <v/>
      </c>
    </row>
    <row r="242" ht="12.75" customHeight="1">
      <c r="G242" t="str">
        <v/>
      </c>
    </row>
    <row r="243" ht="12.75" customHeight="1">
      <c r="G243" t="str">
        <v/>
      </c>
    </row>
    <row r="244" ht="12.75" customHeight="1">
      <c r="G244" t="str">
        <v/>
      </c>
    </row>
    <row r="245" ht="12.75" customHeight="1">
      <c r="G245" t="str">
        <v/>
      </c>
    </row>
    <row r="246" ht="12.75" customHeight="1">
      <c r="G246" t="str">
        <v/>
      </c>
    </row>
    <row r="247" ht="12.75" customHeight="1">
      <c r="G247" t="str">
        <v/>
      </c>
    </row>
    <row r="248" ht="12.75" customHeight="1">
      <c r="G248" t="str">
        <v/>
      </c>
    </row>
    <row r="249" ht="12.75" customHeight="1">
      <c r="G249" t="str">
        <v/>
      </c>
    </row>
    <row r="250" ht="12.75" customHeight="1">
      <c r="G250" t="str">
        <v/>
      </c>
    </row>
    <row r="251" ht="12.75" customHeight="1">
      <c r="G251" t="str">
        <v/>
      </c>
    </row>
    <row r="252" ht="12.75" customHeight="1">
      <c r="G252" t="str">
        <v/>
      </c>
    </row>
    <row r="253" ht="12.75" customHeight="1">
      <c r="G253" t="str">
        <v/>
      </c>
    </row>
    <row r="254" ht="12.75" customHeight="1">
      <c r="G254" t="str">
        <v/>
      </c>
    </row>
    <row r="255" ht="12.75" customHeight="1">
      <c r="G255" t="str">
        <v/>
      </c>
    </row>
    <row r="256" ht="12.75" customHeight="1">
      <c r="G256" t="str">
        <v/>
      </c>
    </row>
    <row r="257" ht="12.75" customHeight="1">
      <c r="G257" t="str">
        <v/>
      </c>
    </row>
    <row r="258" ht="12.75" customHeight="1">
      <c r="G258" t="str">
        <v/>
      </c>
    </row>
    <row r="259" ht="12.75" customHeight="1">
      <c r="G259" t="str">
        <v/>
      </c>
    </row>
    <row r="260" ht="12.75" customHeight="1">
      <c r="G260" t="str">
        <v/>
      </c>
    </row>
    <row r="261" ht="12.75" customHeight="1">
      <c r="G261" t="str">
        <v/>
      </c>
    </row>
    <row r="262" ht="12.75" customHeight="1">
      <c r="G262" t="str">
        <v/>
      </c>
    </row>
    <row r="263" ht="12.75" customHeight="1">
      <c r="G263" t="str">
        <v/>
      </c>
    </row>
    <row r="264" ht="12.75" customHeight="1">
      <c r="G264" t="str">
        <v/>
      </c>
    </row>
    <row r="265" ht="12.75" customHeight="1">
      <c r="G265" t="str">
        <v/>
      </c>
    </row>
    <row r="266" ht="12.75" customHeight="1">
      <c r="G266" t="str">
        <v/>
      </c>
    </row>
    <row r="267" ht="12.75" customHeight="1">
      <c r="G267" t="str">
        <v/>
      </c>
    </row>
    <row r="268" ht="12.75" customHeight="1">
      <c r="G268" t="str">
        <v/>
      </c>
    </row>
    <row r="269" ht="12.75" customHeight="1">
      <c r="G269" t="str">
        <v/>
      </c>
    </row>
    <row r="270" ht="12.75" customHeight="1">
      <c r="G270" t="str">
        <v/>
      </c>
    </row>
    <row r="271" ht="12.75" customHeight="1">
      <c r="G271" t="str">
        <v/>
      </c>
    </row>
    <row r="272" ht="12.75" customHeight="1">
      <c r="G272" t="str">
        <v/>
      </c>
    </row>
    <row r="273" ht="12.75" customHeight="1">
      <c r="G273" t="str">
        <v/>
      </c>
    </row>
    <row r="274" ht="12.75" customHeight="1">
      <c r="G274" t="str">
        <v/>
      </c>
    </row>
    <row r="275" ht="12.75" customHeight="1">
      <c r="G275" t="str">
        <v/>
      </c>
    </row>
    <row r="276" ht="12.75" customHeight="1">
      <c r="G276" t="str">
        <v/>
      </c>
    </row>
    <row r="277" ht="12.75" customHeight="1">
      <c r="G277" t="str">
        <v/>
      </c>
    </row>
    <row r="278" ht="12.75" customHeight="1">
      <c r="G278" t="str">
        <v/>
      </c>
    </row>
    <row r="279" ht="12.75" customHeight="1">
      <c r="G279" t="str">
        <v/>
      </c>
    </row>
    <row r="280" ht="12.75" customHeight="1">
      <c r="G280" t="str">
        <v/>
      </c>
    </row>
    <row r="281" ht="12.75" customHeight="1">
      <c r="G281" t="str">
        <v/>
      </c>
    </row>
    <row r="282" ht="12.75" customHeight="1">
      <c r="G282" t="str">
        <v/>
      </c>
    </row>
    <row r="283" ht="12.75" customHeight="1">
      <c r="G283" t="str">
        <v/>
      </c>
    </row>
    <row r="284" ht="12.75" customHeight="1">
      <c r="G284" t="str">
        <v/>
      </c>
    </row>
    <row r="285" ht="12.75" customHeight="1">
      <c r="G285" t="str">
        <v/>
      </c>
    </row>
    <row r="286" ht="12.75" customHeight="1">
      <c r="G286" t="str">
        <v/>
      </c>
    </row>
    <row r="287" ht="12.75" customHeight="1">
      <c r="G287" t="str">
        <v/>
      </c>
    </row>
    <row r="288" ht="12.75" customHeight="1">
      <c r="G288" t="str">
        <v/>
      </c>
    </row>
    <row r="289" ht="12.75" customHeight="1">
      <c r="G289" t="str">
        <v/>
      </c>
    </row>
    <row r="290" ht="12.75" customHeight="1">
      <c r="G290" t="str">
        <v/>
      </c>
    </row>
    <row r="291" ht="12.75" customHeight="1">
      <c r="G291" t="str">
        <v/>
      </c>
    </row>
    <row r="292" ht="12.75" customHeight="1">
      <c r="G292" t="str">
        <v/>
      </c>
    </row>
    <row r="293" ht="12.75" customHeight="1">
      <c r="G293" t="str">
        <v/>
      </c>
    </row>
    <row r="294" ht="12.75" customHeight="1">
      <c r="G294" t="str">
        <v/>
      </c>
    </row>
    <row r="295" ht="12.75" customHeight="1">
      <c r="G295" t="str">
        <v/>
      </c>
    </row>
    <row r="296" ht="12.75" customHeight="1">
      <c r="G296" t="str">
        <v/>
      </c>
    </row>
    <row r="297" ht="12.75" customHeight="1">
      <c r="G297" t="str">
        <v/>
      </c>
    </row>
    <row r="298" ht="12.75" customHeight="1">
      <c r="G298" t="str">
        <v/>
      </c>
    </row>
    <row r="299" ht="12.75" customHeight="1">
      <c r="G299" t="str">
        <v/>
      </c>
    </row>
    <row r="300" ht="12.75" customHeight="1">
      <c r="G300" t="str">
        <v/>
      </c>
    </row>
    <row r="301" ht="12.75" customHeight="1">
      <c r="G301" t="str">
        <v/>
      </c>
    </row>
    <row r="302" ht="12.75" customHeight="1">
      <c r="G302" t="str">
        <v/>
      </c>
    </row>
    <row r="303" ht="12.75" customHeight="1">
      <c r="G303" t="str">
        <v/>
      </c>
    </row>
    <row r="304" ht="12.75" customHeight="1">
      <c r="G304" t="str">
        <v/>
      </c>
    </row>
    <row r="305" ht="12.75" customHeight="1">
      <c r="G305" t="str">
        <v/>
      </c>
    </row>
    <row r="306" ht="12.75" customHeight="1">
      <c r="G306" t="str">
        <v/>
      </c>
    </row>
    <row r="307" ht="12.75" customHeight="1">
      <c r="G307" t="str">
        <v/>
      </c>
    </row>
    <row r="308" ht="12.75" customHeight="1">
      <c r="G308" t="str">
        <v/>
      </c>
    </row>
    <row r="309" ht="12.75" customHeight="1">
      <c r="G309" t="str">
        <v/>
      </c>
    </row>
    <row r="310" ht="12.75" customHeight="1">
      <c r="G310" t="str">
        <v/>
      </c>
    </row>
    <row r="311" ht="12.75" customHeight="1">
      <c r="G311" t="str">
        <v/>
      </c>
    </row>
    <row r="312" ht="12.75" customHeight="1">
      <c r="G312" t="str">
        <v/>
      </c>
    </row>
    <row r="313" ht="12.75" customHeight="1">
      <c r="G313" t="str">
        <v/>
      </c>
    </row>
    <row r="314" ht="12.75" customHeight="1">
      <c r="G314" t="str">
        <v/>
      </c>
    </row>
    <row r="315" ht="12.75" customHeight="1">
      <c r="G315" t="str">
        <v/>
      </c>
    </row>
    <row r="316" ht="12.75" customHeight="1">
      <c r="G316" t="str">
        <v/>
      </c>
    </row>
    <row r="317" ht="12.75" customHeight="1">
      <c r="G317" t="str">
        <v/>
      </c>
    </row>
    <row r="318" ht="12.75" customHeight="1">
      <c r="G318" t="str">
        <v/>
      </c>
    </row>
    <row r="319" ht="12.75" customHeight="1">
      <c r="G319" t="str">
        <v/>
      </c>
    </row>
    <row r="320" ht="12.75" customHeight="1">
      <c r="G320" t="str">
        <v/>
      </c>
    </row>
    <row r="321" ht="12.75" customHeight="1">
      <c r="G321" t="str">
        <v/>
      </c>
    </row>
    <row r="322" ht="12.75" customHeight="1">
      <c r="G322" t="str">
        <v/>
      </c>
    </row>
    <row r="323" ht="12.75" customHeight="1">
      <c r="G323" t="str">
        <v/>
      </c>
    </row>
    <row r="324" ht="12.75" customHeight="1">
      <c r="G324" t="str">
        <v/>
      </c>
    </row>
    <row r="325" ht="12.75" customHeight="1">
      <c r="G325" t="str">
        <v/>
      </c>
    </row>
    <row r="326" ht="12.75" customHeight="1">
      <c r="G326" t="str">
        <v/>
      </c>
    </row>
    <row r="327" ht="12.75" customHeight="1">
      <c r="G327" t="str">
        <v/>
      </c>
    </row>
    <row r="328" ht="12.75" customHeight="1">
      <c r="G328" t="str">
        <v/>
      </c>
    </row>
    <row r="329" ht="12.75" customHeight="1">
      <c r="G329" t="str">
        <v/>
      </c>
    </row>
    <row r="330" ht="12.75" customHeight="1">
      <c r="G330" t="str">
        <v/>
      </c>
    </row>
    <row r="331" ht="12.75" customHeight="1">
      <c r="G331" t="str">
        <v/>
      </c>
    </row>
    <row r="332" ht="12.75" customHeight="1">
      <c r="G332" t="str">
        <v/>
      </c>
    </row>
    <row r="333" ht="12.75" customHeight="1">
      <c r="G333" t="str">
        <v/>
      </c>
    </row>
    <row r="334" ht="12.75" customHeight="1">
      <c r="G334" t="str">
        <v/>
      </c>
    </row>
    <row r="335" ht="12.75" customHeight="1">
      <c r="G335" t="str">
        <v/>
      </c>
    </row>
    <row r="336" ht="12.75" customHeight="1">
      <c r="G336" t="str">
        <v/>
      </c>
    </row>
    <row r="337" ht="12.75" customHeight="1">
      <c r="G337" t="str">
        <v/>
      </c>
    </row>
    <row r="338" ht="12.75" customHeight="1">
      <c r="G338" t="str">
        <v/>
      </c>
    </row>
    <row r="339" ht="12.75" customHeight="1">
      <c r="G339" t="str">
        <v/>
      </c>
    </row>
    <row r="340" ht="12.75" customHeight="1">
      <c r="G340" t="str">
        <v/>
      </c>
    </row>
    <row r="341" ht="12.75" customHeight="1">
      <c r="G341" t="str">
        <v/>
      </c>
    </row>
    <row r="342" ht="12.75" customHeight="1">
      <c r="G342" t="str">
        <v/>
      </c>
    </row>
    <row r="343" ht="12.75" customHeight="1">
      <c r="G343" t="str">
        <v/>
      </c>
    </row>
    <row r="344" ht="12.75" customHeight="1">
      <c r="G344" t="str">
        <v/>
      </c>
    </row>
    <row r="345" ht="12.75" customHeight="1">
      <c r="G345" t="str">
        <v/>
      </c>
    </row>
    <row r="346" ht="12.75" customHeight="1">
      <c r="G346" t="str">
        <v/>
      </c>
    </row>
    <row r="347" ht="12.75" customHeight="1">
      <c r="G347" t="str">
        <v/>
      </c>
    </row>
    <row r="348" ht="12.75" customHeight="1">
      <c r="G348" t="str">
        <v/>
      </c>
    </row>
    <row r="349" ht="12.75" customHeight="1">
      <c r="G349" t="str">
        <v/>
      </c>
    </row>
    <row r="350" ht="12.75" customHeight="1">
      <c r="G350" t="str">
        <v/>
      </c>
    </row>
    <row r="351" ht="12.75" customHeight="1">
      <c r="G351" t="str">
        <v/>
      </c>
    </row>
    <row r="352" ht="12.75" customHeight="1">
      <c r="G352" t="str">
        <v/>
      </c>
    </row>
    <row r="353" ht="12.75" customHeight="1">
      <c r="G353" t="str">
        <v/>
      </c>
    </row>
    <row r="354" ht="12.75" customHeight="1">
      <c r="G354" t="str">
        <v/>
      </c>
    </row>
    <row r="355" ht="12.75" customHeight="1">
      <c r="G355" t="str">
        <v/>
      </c>
    </row>
    <row r="356" ht="12.75" customHeight="1">
      <c r="G356" t="str">
        <v/>
      </c>
    </row>
    <row r="357" ht="12.75" customHeight="1">
      <c r="G357" t="str">
        <v/>
      </c>
    </row>
    <row r="358" ht="12.75" customHeight="1">
      <c r="G358" t="str">
        <v/>
      </c>
    </row>
    <row r="359" ht="12.75" customHeight="1">
      <c r="G359" t="str">
        <v/>
      </c>
    </row>
    <row r="360" ht="12.75" customHeight="1">
      <c r="G360" t="str">
        <v/>
      </c>
    </row>
    <row r="361" ht="12.75" customHeight="1">
      <c r="G361" t="str">
        <v/>
      </c>
    </row>
    <row r="362" ht="12.75" customHeight="1">
      <c r="G362" t="str">
        <v/>
      </c>
    </row>
    <row r="363" ht="12.75" customHeight="1">
      <c r="G363" t="str">
        <v/>
      </c>
    </row>
    <row r="364" ht="12.75" customHeight="1">
      <c r="G364" t="str">
        <v/>
      </c>
    </row>
    <row r="365" ht="12.75" customHeight="1">
      <c r="G365" t="str">
        <v/>
      </c>
    </row>
    <row r="366" ht="12.75" customHeight="1">
      <c r="G366" t="str">
        <v/>
      </c>
    </row>
    <row r="367" ht="12.75" customHeight="1">
      <c r="G367" t="str">
        <v/>
      </c>
    </row>
    <row r="368" ht="12.75" customHeight="1">
      <c r="G368" t="str">
        <v/>
      </c>
    </row>
    <row r="369" ht="12.75" customHeight="1">
      <c r="G369" t="str">
        <v/>
      </c>
    </row>
    <row r="370" ht="12.75" customHeight="1">
      <c r="G370" t="str">
        <v/>
      </c>
    </row>
    <row r="371" ht="12.75" customHeight="1">
      <c r="G371" t="str">
        <v/>
      </c>
    </row>
    <row r="372" ht="12.75" customHeight="1">
      <c r="G372" t="str">
        <v/>
      </c>
    </row>
    <row r="373" ht="12.75" customHeight="1">
      <c r="G373" t="str">
        <v/>
      </c>
    </row>
    <row r="374" ht="12.75" customHeight="1">
      <c r="G374" t="str">
        <v/>
      </c>
    </row>
    <row r="375" ht="12.75" customHeight="1">
      <c r="G375" t="str">
        <v/>
      </c>
    </row>
    <row r="376" ht="12.75" customHeight="1">
      <c r="G376" t="str">
        <v/>
      </c>
    </row>
    <row r="377" ht="12.75" customHeight="1">
      <c r="G377" t="str">
        <v/>
      </c>
    </row>
    <row r="378" ht="12.75" customHeight="1">
      <c r="G378" t="str">
        <v/>
      </c>
    </row>
    <row r="379" ht="12.75" customHeight="1">
      <c r="G379" t="str">
        <v/>
      </c>
    </row>
    <row r="380" ht="12.75" customHeight="1">
      <c r="G380" t="str">
        <v/>
      </c>
    </row>
    <row r="381" ht="12.75" customHeight="1">
      <c r="G381" t="str">
        <v/>
      </c>
    </row>
    <row r="382" ht="12.75" customHeight="1">
      <c r="G382" t="str">
        <v/>
      </c>
    </row>
    <row r="383" ht="12.75" customHeight="1">
      <c r="G383" t="str">
        <v/>
      </c>
    </row>
    <row r="384" ht="12.75" customHeight="1">
      <c r="G384" t="str">
        <v/>
      </c>
    </row>
    <row r="385" ht="12.75" customHeight="1">
      <c r="G385" t="str">
        <v/>
      </c>
    </row>
    <row r="386" ht="12.75" customHeight="1">
      <c r="G386" t="str">
        <v/>
      </c>
    </row>
    <row r="387" ht="12.75" customHeight="1">
      <c r="G387" t="str">
        <v/>
      </c>
    </row>
    <row r="388" ht="12.75" customHeight="1">
      <c r="G388" t="str">
        <v/>
      </c>
    </row>
    <row r="389" ht="12.75" customHeight="1">
      <c r="G389" t="str">
        <v/>
      </c>
    </row>
    <row r="390" ht="12.75" customHeight="1">
      <c r="G390" t="str">
        <v/>
      </c>
    </row>
    <row r="391" ht="12.75" customHeight="1">
      <c r="G391" t="str">
        <v/>
      </c>
    </row>
    <row r="392" ht="12.75" customHeight="1">
      <c r="G392" t="str">
        <v/>
      </c>
    </row>
    <row r="393" ht="12.75" customHeight="1">
      <c r="G393" t="str">
        <v/>
      </c>
    </row>
    <row r="394" ht="12.75" customHeight="1">
      <c r="G394" t="str">
        <v/>
      </c>
    </row>
    <row r="395" ht="12.75" customHeight="1">
      <c r="G395" t="str">
        <v/>
      </c>
    </row>
    <row r="396" ht="12.75" customHeight="1">
      <c r="G396" t="str">
        <v/>
      </c>
    </row>
    <row r="397" ht="12.75" customHeight="1">
      <c r="G397" t="str">
        <v/>
      </c>
    </row>
    <row r="398" ht="12.75" customHeight="1">
      <c r="G398" t="str">
        <v/>
      </c>
    </row>
    <row r="399" ht="12.75" customHeight="1">
      <c r="G399" t="str">
        <v/>
      </c>
    </row>
    <row r="400" ht="12.75" customHeight="1">
      <c r="G400" t="str">
        <v/>
      </c>
    </row>
    <row r="401" ht="12.75" customHeight="1">
      <c r="G401" t="str">
        <v/>
      </c>
    </row>
    <row r="402" ht="12.75" customHeight="1">
      <c r="G402" t="str">
        <v/>
      </c>
    </row>
    <row r="403" ht="12.75" customHeight="1">
      <c r="G403" t="str">
        <v/>
      </c>
    </row>
    <row r="404" ht="12.75" customHeight="1">
      <c r="G404" t="str">
        <v/>
      </c>
    </row>
    <row r="405" ht="12.75" customHeight="1">
      <c r="G405" t="str">
        <v/>
      </c>
    </row>
    <row r="406" ht="12.75" customHeight="1">
      <c r="G406" t="str">
        <v/>
      </c>
    </row>
    <row r="407" ht="12.75" customHeight="1">
      <c r="G407" t="str">
        <v/>
      </c>
    </row>
    <row r="408" ht="12.75" customHeight="1">
      <c r="G408" t="str">
        <v/>
      </c>
    </row>
    <row r="409" ht="12.75" customHeight="1">
      <c r="G409" t="str">
        <v/>
      </c>
    </row>
    <row r="410" ht="12.75" customHeight="1">
      <c r="G410" t="str">
        <v/>
      </c>
    </row>
    <row r="411" ht="12.75" customHeight="1">
      <c r="G411" t="str">
        <v/>
      </c>
    </row>
    <row r="412" ht="12.75" customHeight="1">
      <c r="G412" t="str">
        <v/>
      </c>
    </row>
    <row r="413" ht="12.75" customHeight="1">
      <c r="G413" t="str">
        <v/>
      </c>
    </row>
    <row r="414" ht="12.75" customHeight="1">
      <c r="G414" t="str">
        <v/>
      </c>
    </row>
    <row r="415" ht="12.75" customHeight="1">
      <c r="G415" t="str">
        <v/>
      </c>
    </row>
    <row r="416" ht="12.75" customHeight="1">
      <c r="G416" t="str">
        <v/>
      </c>
    </row>
    <row r="417" ht="12.75" customHeight="1">
      <c r="G417" t="str">
        <v/>
      </c>
    </row>
    <row r="418" ht="12.75" customHeight="1">
      <c r="G418" t="str">
        <v/>
      </c>
    </row>
    <row r="419" ht="12.75" customHeight="1">
      <c r="G419" t="str">
        <v/>
      </c>
    </row>
    <row r="420" ht="12.75" customHeight="1">
      <c r="G420" t="str">
        <v/>
      </c>
    </row>
    <row r="421" ht="12.75" customHeight="1">
      <c r="G421" t="str">
        <v/>
      </c>
    </row>
    <row r="422" ht="12.75" customHeight="1">
      <c r="G422" t="str">
        <v/>
      </c>
    </row>
    <row r="423" ht="12.75" customHeight="1">
      <c r="G423" t="str">
        <v/>
      </c>
    </row>
    <row r="424" ht="12.75" customHeight="1">
      <c r="G424" t="str">
        <v/>
      </c>
    </row>
    <row r="425" ht="12.75" customHeight="1">
      <c r="G425" t="str">
        <v/>
      </c>
    </row>
    <row r="426" ht="12.75" customHeight="1">
      <c r="G426" t="str">
        <v/>
      </c>
    </row>
    <row r="427" ht="12.75" customHeight="1">
      <c r="G427" t="str">
        <v/>
      </c>
    </row>
    <row r="428" ht="12.75" customHeight="1">
      <c r="G428" t="str">
        <v/>
      </c>
    </row>
    <row r="429" ht="12.75" customHeight="1">
      <c r="G429" t="str">
        <v/>
      </c>
    </row>
    <row r="430" ht="12.75" customHeight="1">
      <c r="G430" t="str">
        <v/>
      </c>
    </row>
    <row r="431" ht="12.75" customHeight="1">
      <c r="G431" t="str">
        <v/>
      </c>
    </row>
    <row r="432" ht="12.75" customHeight="1">
      <c r="G432" t="str">
        <v/>
      </c>
    </row>
    <row r="433" ht="12.75" customHeight="1">
      <c r="G433" t="str">
        <v/>
      </c>
    </row>
    <row r="434" ht="12.75" customHeight="1">
      <c r="G434" t="str">
        <v/>
      </c>
    </row>
    <row r="435" ht="12.75" customHeight="1">
      <c r="G435" t="str">
        <v/>
      </c>
    </row>
    <row r="436" ht="12.75" customHeight="1">
      <c r="G436" t="str">
        <v/>
      </c>
    </row>
    <row r="437" ht="12.75" customHeight="1">
      <c r="G437" t="str">
        <v/>
      </c>
    </row>
    <row r="438" ht="12.75" customHeight="1">
      <c r="G438" t="str">
        <v/>
      </c>
    </row>
    <row r="439" ht="12.75" customHeight="1">
      <c r="G439" t="str">
        <v/>
      </c>
    </row>
    <row r="440" ht="12.75" customHeight="1">
      <c r="G440" t="str">
        <v/>
      </c>
    </row>
    <row r="441" ht="12.75" customHeight="1">
      <c r="G441" t="str">
        <v/>
      </c>
    </row>
    <row r="442" ht="12.75" customHeight="1">
      <c r="G442" t="str">
        <v/>
      </c>
    </row>
    <row r="443" ht="12.75" customHeight="1">
      <c r="G443" t="str">
        <v/>
      </c>
    </row>
    <row r="444" ht="12.75" customHeight="1">
      <c r="G444" t="str">
        <v/>
      </c>
    </row>
    <row r="445" ht="12.75" customHeight="1">
      <c r="G445" t="str">
        <v/>
      </c>
    </row>
    <row r="446" ht="12.75" customHeight="1">
      <c r="G446" t="str">
        <v/>
      </c>
    </row>
    <row r="447" ht="12.75" customHeight="1">
      <c r="G447" t="str">
        <v/>
      </c>
    </row>
    <row r="448" ht="12.75" customHeight="1">
      <c r="G448" t="str">
        <v/>
      </c>
    </row>
    <row r="449" ht="12.75" customHeight="1">
      <c r="G449" t="str">
        <v/>
      </c>
    </row>
    <row r="450" ht="12.75" customHeight="1">
      <c r="G450" t="str">
        <v/>
      </c>
    </row>
    <row r="451" ht="12.75" customHeight="1">
      <c r="G451" t="str">
        <v/>
      </c>
    </row>
    <row r="452" ht="12.75" customHeight="1">
      <c r="G452" t="str">
        <v/>
      </c>
    </row>
    <row r="453" ht="12.75" customHeight="1">
      <c r="G453" t="str">
        <v/>
      </c>
    </row>
    <row r="454" ht="12.75" customHeight="1">
      <c r="G454" t="str">
        <v/>
      </c>
    </row>
    <row r="455" ht="12.75" customHeight="1">
      <c r="G455" t="str">
        <v/>
      </c>
    </row>
    <row r="456" ht="12.75" customHeight="1">
      <c r="G456" t="str">
        <v/>
      </c>
    </row>
    <row r="457" ht="12.75" customHeight="1">
      <c r="G457" t="str">
        <v/>
      </c>
    </row>
    <row r="458" ht="12.75" customHeight="1">
      <c r="G458" t="str">
        <v/>
      </c>
    </row>
    <row r="459" ht="12.75" customHeight="1">
      <c r="G459" t="str">
        <v/>
      </c>
    </row>
    <row r="460" ht="12.75" customHeight="1">
      <c r="G460" t="str">
        <v/>
      </c>
    </row>
    <row r="461" ht="12.75" customHeight="1">
      <c r="G461" t="str">
        <v/>
      </c>
    </row>
    <row r="462" ht="12.75" customHeight="1">
      <c r="G462" t="str">
        <v/>
      </c>
    </row>
    <row r="463" ht="12.75" customHeight="1">
      <c r="G463" t="str">
        <v/>
      </c>
    </row>
    <row r="464" ht="12.75" customHeight="1">
      <c r="G464" t="str">
        <v/>
      </c>
    </row>
    <row r="465" ht="12.75" customHeight="1">
      <c r="G465" t="str">
        <v/>
      </c>
    </row>
    <row r="466" ht="12.75" customHeight="1">
      <c r="G466" t="str">
        <v/>
      </c>
    </row>
    <row r="467" ht="12.75" customHeight="1">
      <c r="G467" t="str">
        <v/>
      </c>
    </row>
    <row r="468" ht="12.75" customHeight="1">
      <c r="G468" t="str">
        <v/>
      </c>
    </row>
    <row r="469" ht="12.75" customHeight="1">
      <c r="G469" t="str">
        <v/>
      </c>
    </row>
    <row r="470" ht="12.75" customHeight="1">
      <c r="G470" t="str">
        <v/>
      </c>
    </row>
    <row r="471" ht="12.75" customHeight="1">
      <c r="G471" t="str">
        <v/>
      </c>
    </row>
    <row r="472" ht="12.75" customHeight="1">
      <c r="G472" t="str">
        <v/>
      </c>
    </row>
    <row r="473" ht="12.75" customHeight="1">
      <c r="G473" t="str">
        <v/>
      </c>
    </row>
    <row r="474" ht="12.75" customHeight="1">
      <c r="G474" t="str">
        <v/>
      </c>
    </row>
    <row r="475" ht="12.75" customHeight="1">
      <c r="G475" t="str">
        <v/>
      </c>
    </row>
    <row r="476" ht="12.75" customHeight="1">
      <c r="G476" t="str">
        <v/>
      </c>
    </row>
    <row r="477" ht="12.75" customHeight="1">
      <c r="G477" t="str">
        <v/>
      </c>
    </row>
    <row r="478" ht="12.75" customHeight="1">
      <c r="G478" t="str">
        <v/>
      </c>
    </row>
    <row r="479" ht="12.75" customHeight="1">
      <c r="G479" t="str">
        <v/>
      </c>
    </row>
    <row r="480" ht="12.75" customHeight="1">
      <c r="G480" t="str">
        <v/>
      </c>
    </row>
    <row r="481" ht="12.75" customHeight="1">
      <c r="G481" t="str">
        <v/>
      </c>
    </row>
    <row r="482" ht="12.75" customHeight="1">
      <c r="G482" t="str">
        <v/>
      </c>
    </row>
    <row r="483" ht="12.75" customHeight="1">
      <c r="G483" t="str">
        <v/>
      </c>
    </row>
    <row r="484" ht="12.75" customHeight="1">
      <c r="G484" t="str">
        <v/>
      </c>
    </row>
    <row r="485" ht="12.75" customHeight="1">
      <c r="G485" t="str">
        <v/>
      </c>
    </row>
    <row r="486" ht="12.75" customHeight="1">
      <c r="G486" t="str">
        <v/>
      </c>
    </row>
    <row r="487" ht="12.75" customHeight="1">
      <c r="G487" t="str">
        <v/>
      </c>
    </row>
    <row r="488" ht="12.75" customHeight="1">
      <c r="G488" t="str">
        <v/>
      </c>
    </row>
    <row r="489" ht="12.75" customHeight="1">
      <c r="G489" t="str">
        <v/>
      </c>
    </row>
    <row r="490" ht="12.75" customHeight="1">
      <c r="G490" t="str">
        <v/>
      </c>
    </row>
    <row r="491" ht="12.75" customHeight="1">
      <c r="G491" t="str">
        <v/>
      </c>
    </row>
    <row r="492" ht="12.75" customHeight="1">
      <c r="G492" t="str">
        <v/>
      </c>
    </row>
    <row r="493" ht="12.75" customHeight="1">
      <c r="G493" t="str">
        <v/>
      </c>
    </row>
    <row r="494" ht="12.75" customHeight="1">
      <c r="G494" t="str">
        <v/>
      </c>
    </row>
    <row r="495" ht="12.75" customHeight="1">
      <c r="G495" t="str">
        <v/>
      </c>
    </row>
    <row r="496" ht="12.75" customHeight="1">
      <c r="G496" t="str">
        <v/>
      </c>
    </row>
    <row r="497" ht="12.75" customHeight="1">
      <c r="G497" t="str">
        <v/>
      </c>
    </row>
    <row r="498" ht="12.75" customHeight="1">
      <c r="G498" t="str">
        <v/>
      </c>
    </row>
    <row r="499" ht="12.75" customHeight="1">
      <c r="G499" t="str">
        <v/>
      </c>
    </row>
    <row r="500" ht="12.75" customHeight="1">
      <c r="G500" t="str">
        <v/>
      </c>
    </row>
    <row r="501" ht="12.75" customHeight="1">
      <c r="G501" t="str">
        <v/>
      </c>
    </row>
    <row r="502" ht="12.75" customHeight="1">
      <c r="G502" t="str">
        <v/>
      </c>
    </row>
    <row r="503" ht="12.75" customHeight="1">
      <c r="G503" t="str">
        <v/>
      </c>
    </row>
    <row r="504" ht="12.75" customHeight="1">
      <c r="G504" t="str">
        <v/>
      </c>
    </row>
    <row r="505" ht="12.75" customHeight="1">
      <c r="G505" t="str">
        <v/>
      </c>
    </row>
    <row r="506" ht="12.75" customHeight="1">
      <c r="G506" t="str">
        <v/>
      </c>
    </row>
    <row r="507" ht="12.75" customHeight="1">
      <c r="G507" t="str">
        <v/>
      </c>
    </row>
    <row r="508" ht="12.75" customHeight="1">
      <c r="G508" t="str">
        <v/>
      </c>
    </row>
    <row r="509" ht="12.75" customHeight="1">
      <c r="G509" t="str">
        <v/>
      </c>
    </row>
    <row r="510" ht="12.75" customHeight="1">
      <c r="G510" t="str">
        <v/>
      </c>
    </row>
    <row r="511" ht="12.75" customHeight="1">
      <c r="G511" t="str">
        <v/>
      </c>
    </row>
    <row r="512" ht="12.75" customHeight="1">
      <c r="G512" t="str">
        <v/>
      </c>
    </row>
    <row r="513" ht="12.75" customHeight="1">
      <c r="G513" t="str">
        <v/>
      </c>
    </row>
    <row r="514" ht="12.75" customHeight="1">
      <c r="G514" t="str">
        <v/>
      </c>
    </row>
    <row r="515" ht="12.75" customHeight="1">
      <c r="G515" t="str">
        <v/>
      </c>
    </row>
    <row r="516" ht="12.75" customHeight="1">
      <c r="G516" t="str">
        <v/>
      </c>
    </row>
    <row r="517" ht="12.75" customHeight="1">
      <c r="G517" t="str">
        <v/>
      </c>
    </row>
    <row r="518" ht="12.75" customHeight="1">
      <c r="G518" t="str">
        <v/>
      </c>
    </row>
    <row r="519" ht="12.75" customHeight="1">
      <c r="G519" t="str">
        <v/>
      </c>
    </row>
    <row r="520" ht="12.75" customHeight="1">
      <c r="G520" t="str">
        <v/>
      </c>
    </row>
    <row r="521" ht="12.75" customHeight="1">
      <c r="G521" t="str">
        <v/>
      </c>
    </row>
    <row r="522" ht="12.75" customHeight="1">
      <c r="G522" t="str">
        <v/>
      </c>
    </row>
    <row r="523" ht="12.75" customHeight="1">
      <c r="G523" t="str">
        <v/>
      </c>
    </row>
    <row r="524" ht="12.75" customHeight="1">
      <c r="G524" t="str">
        <v/>
      </c>
    </row>
    <row r="525" ht="12.75" customHeight="1">
      <c r="G525" t="str">
        <v/>
      </c>
    </row>
    <row r="526" ht="12.75" customHeight="1">
      <c r="G526" t="str">
        <v/>
      </c>
    </row>
    <row r="527" ht="12.75" customHeight="1">
      <c r="G527" t="str">
        <v/>
      </c>
    </row>
    <row r="528" ht="12.75" customHeight="1">
      <c r="G528" t="str">
        <v/>
      </c>
    </row>
    <row r="529" ht="12.75" customHeight="1">
      <c r="G529" t="str">
        <v/>
      </c>
    </row>
    <row r="530" ht="12.75" customHeight="1">
      <c r="G530" t="str">
        <v/>
      </c>
    </row>
    <row r="531" ht="12.75" customHeight="1">
      <c r="G531" t="str">
        <v/>
      </c>
    </row>
    <row r="532" ht="12.75" customHeight="1">
      <c r="G532" t="str">
        <v/>
      </c>
    </row>
    <row r="533" ht="12.75" customHeight="1">
      <c r="G533" t="str">
        <v/>
      </c>
    </row>
    <row r="534" ht="12.75" customHeight="1">
      <c r="G534" t="str">
        <v/>
      </c>
    </row>
    <row r="535" ht="12.75" customHeight="1">
      <c r="G535" t="str">
        <v/>
      </c>
    </row>
    <row r="536" ht="12.75" customHeight="1">
      <c r="G536" t="str">
        <v/>
      </c>
    </row>
    <row r="537" ht="12.75" customHeight="1">
      <c r="G537" t="str">
        <v/>
      </c>
    </row>
    <row r="538" ht="12.75" customHeight="1">
      <c r="G538" t="str">
        <v/>
      </c>
    </row>
    <row r="539" ht="12.75" customHeight="1">
      <c r="G539" t="str">
        <v/>
      </c>
    </row>
    <row r="540" ht="12.75" customHeight="1">
      <c r="G540" t="str">
        <v/>
      </c>
    </row>
    <row r="541" ht="12.75" customHeight="1">
      <c r="G541" t="str">
        <v/>
      </c>
    </row>
    <row r="542" ht="12.75" customHeight="1">
      <c r="G542" t="str">
        <v/>
      </c>
    </row>
    <row r="543" ht="12.75" customHeight="1">
      <c r="G543" t="str">
        <v/>
      </c>
    </row>
    <row r="544" ht="12.75" customHeight="1">
      <c r="G544" t="str">
        <v/>
      </c>
    </row>
    <row r="545" ht="12.75" customHeight="1">
      <c r="G545" t="str">
        <v/>
      </c>
    </row>
    <row r="546" ht="12.75" customHeight="1">
      <c r="G546" t="str">
        <v/>
      </c>
    </row>
    <row r="547" ht="12.75" customHeight="1">
      <c r="G547" t="str">
        <v/>
      </c>
    </row>
    <row r="548" ht="12.75" customHeight="1">
      <c r="G548" t="str">
        <v/>
      </c>
    </row>
    <row r="549" ht="12.75" customHeight="1">
      <c r="G549" t="str">
        <v/>
      </c>
    </row>
    <row r="550" ht="12.75" customHeight="1">
      <c r="G550" t="str">
        <v/>
      </c>
    </row>
    <row r="551" ht="12.75" customHeight="1">
      <c r="G551" t="str">
        <v/>
      </c>
    </row>
    <row r="552" ht="12.75" customHeight="1">
      <c r="G552" t="str">
        <v/>
      </c>
    </row>
    <row r="553" ht="12.75" customHeight="1">
      <c r="G553" t="str">
        <v/>
      </c>
    </row>
    <row r="554" ht="12.75" customHeight="1">
      <c r="G554" t="str">
        <v/>
      </c>
    </row>
    <row r="555" ht="12.75" customHeight="1">
      <c r="G555" t="str">
        <v/>
      </c>
    </row>
    <row r="556" ht="12.75" customHeight="1">
      <c r="G556" t="str">
        <v/>
      </c>
    </row>
    <row r="557" ht="12.75" customHeight="1">
      <c r="G557" t="str">
        <v/>
      </c>
    </row>
    <row r="558" ht="12.75" customHeight="1">
      <c r="G558" t="str">
        <v/>
      </c>
    </row>
    <row r="559" ht="12.75" customHeight="1">
      <c r="G559" t="str">
        <v/>
      </c>
    </row>
    <row r="560" ht="12.75" customHeight="1">
      <c r="G560" t="str">
        <v/>
      </c>
    </row>
    <row r="561" ht="12.75" customHeight="1">
      <c r="G561" t="str">
        <v/>
      </c>
    </row>
    <row r="562" ht="12.75" customHeight="1">
      <c r="G562" t="str">
        <v/>
      </c>
    </row>
    <row r="563" ht="12.75" customHeight="1">
      <c r="G563" t="str">
        <v/>
      </c>
    </row>
    <row r="564" ht="12.75" customHeight="1">
      <c r="G564" t="str">
        <v/>
      </c>
    </row>
    <row r="565" ht="12.75" customHeight="1">
      <c r="G565" t="str">
        <v/>
      </c>
    </row>
    <row r="566" ht="12.75" customHeight="1">
      <c r="G566" t="str">
        <v/>
      </c>
    </row>
    <row r="567" ht="12.75" customHeight="1">
      <c r="G567" t="str">
        <v/>
      </c>
    </row>
    <row r="568" ht="12.75" customHeight="1">
      <c r="G568" t="str">
        <v/>
      </c>
    </row>
    <row r="569" ht="12.75" customHeight="1">
      <c r="G569" t="str">
        <v/>
      </c>
    </row>
    <row r="570" ht="12.75" customHeight="1">
      <c r="G570" t="str">
        <v/>
      </c>
    </row>
    <row r="571" ht="12.75" customHeight="1">
      <c r="G571" t="str">
        <v/>
      </c>
    </row>
    <row r="572" ht="12.75" customHeight="1">
      <c r="G572" t="str">
        <v/>
      </c>
    </row>
    <row r="573" ht="12.75" customHeight="1">
      <c r="G573" t="str">
        <v/>
      </c>
    </row>
    <row r="574" ht="12.75" customHeight="1">
      <c r="G574" t="str">
        <v/>
      </c>
    </row>
    <row r="575" ht="12.75" customHeight="1">
      <c r="G575" t="str">
        <v/>
      </c>
    </row>
    <row r="576" ht="12.75" customHeight="1">
      <c r="G576" t="str">
        <v/>
      </c>
    </row>
    <row r="577" ht="12.75" customHeight="1">
      <c r="G577" t="str">
        <v/>
      </c>
    </row>
    <row r="578" ht="12.75" customHeight="1">
      <c r="G578" t="str">
        <v/>
      </c>
    </row>
    <row r="579" ht="12.75" customHeight="1">
      <c r="G579" t="str">
        <v/>
      </c>
    </row>
    <row r="580" ht="12.75" customHeight="1">
      <c r="G580" t="str">
        <v/>
      </c>
    </row>
    <row r="581" ht="12.75" customHeight="1">
      <c r="G581" t="str">
        <v/>
      </c>
    </row>
    <row r="582" ht="12.75" customHeight="1">
      <c r="G582" t="str">
        <v/>
      </c>
    </row>
    <row r="583" ht="12.75" customHeight="1">
      <c r="G583" t="str">
        <v/>
      </c>
    </row>
    <row r="584" ht="12.75" customHeight="1">
      <c r="G584" t="str">
        <v/>
      </c>
    </row>
    <row r="585" ht="12.75" customHeight="1">
      <c r="G585" t="str">
        <v/>
      </c>
    </row>
    <row r="586" ht="12.75" customHeight="1">
      <c r="G586" t="str">
        <v/>
      </c>
    </row>
    <row r="587" ht="12.75" customHeight="1">
      <c r="G587" t="str">
        <v/>
      </c>
    </row>
    <row r="588" ht="12.75" customHeight="1">
      <c r="G588" t="str">
        <v/>
      </c>
    </row>
    <row r="589" ht="12.75" customHeight="1">
      <c r="G589" t="str">
        <v/>
      </c>
    </row>
    <row r="590" ht="12.75" customHeight="1">
      <c r="G590" t="str">
        <v/>
      </c>
    </row>
    <row r="591" ht="12.75" customHeight="1">
      <c r="G591" t="str">
        <v/>
      </c>
    </row>
    <row r="592" ht="12.75" customHeight="1">
      <c r="G592" t="str">
        <v/>
      </c>
    </row>
    <row r="593" ht="12.75" customHeight="1">
      <c r="G593" t="str">
        <v/>
      </c>
    </row>
    <row r="594" ht="12.75" customHeight="1">
      <c r="G594" t="str">
        <v/>
      </c>
    </row>
    <row r="595" ht="12.75" customHeight="1">
      <c r="G595" t="str">
        <v/>
      </c>
    </row>
    <row r="596" ht="12.75" customHeight="1">
      <c r="G596" t="str">
        <v/>
      </c>
    </row>
    <row r="597" ht="12.75" customHeight="1">
      <c r="G597" t="str">
        <v/>
      </c>
    </row>
    <row r="598" ht="12.75" customHeight="1">
      <c r="G598" t="str">
        <v/>
      </c>
    </row>
    <row r="599" ht="12.75" customHeight="1">
      <c r="G599" t="str">
        <v/>
      </c>
    </row>
    <row r="600" ht="12.75" customHeight="1">
      <c r="G600" t="str">
        <v/>
      </c>
    </row>
    <row r="601" ht="12.75" customHeight="1">
      <c r="G601" t="str">
        <v/>
      </c>
    </row>
    <row r="602" ht="12.75" customHeight="1">
      <c r="G602" t="str">
        <v/>
      </c>
    </row>
    <row r="603" ht="12.75" customHeight="1">
      <c r="G603" t="str">
        <v/>
      </c>
    </row>
    <row r="604" ht="12.75" customHeight="1">
      <c r="G604" t="str">
        <v/>
      </c>
    </row>
    <row r="605" ht="12.75" customHeight="1">
      <c r="G605" t="str">
        <v/>
      </c>
    </row>
    <row r="606" ht="12.75" customHeight="1">
      <c r="G606" t="str">
        <v/>
      </c>
    </row>
    <row r="607" ht="12.75" customHeight="1">
      <c r="G607" t="str">
        <v/>
      </c>
    </row>
    <row r="608" ht="12.75" customHeight="1">
      <c r="G608" t="str">
        <v/>
      </c>
    </row>
    <row r="609" ht="12.75" customHeight="1">
      <c r="G609" t="str">
        <v/>
      </c>
    </row>
    <row r="610" ht="12.75" customHeight="1">
      <c r="G610" t="str">
        <v/>
      </c>
    </row>
    <row r="611" ht="12.75" customHeight="1">
      <c r="G611" t="str">
        <v/>
      </c>
    </row>
    <row r="612" ht="12.75" customHeight="1">
      <c r="G612" t="str">
        <v/>
      </c>
    </row>
    <row r="613" ht="12.75" customHeight="1">
      <c r="G613" t="str">
        <v/>
      </c>
    </row>
    <row r="614" ht="12.75" customHeight="1">
      <c r="G614" t="str">
        <v/>
      </c>
    </row>
    <row r="615" ht="12.75" customHeight="1">
      <c r="G615" t="str">
        <v/>
      </c>
    </row>
    <row r="616" ht="12.75" customHeight="1">
      <c r="G616" t="str">
        <v/>
      </c>
    </row>
    <row r="617" ht="12.75" customHeight="1">
      <c r="G617" t="str">
        <v/>
      </c>
    </row>
    <row r="618" ht="12.75" customHeight="1">
      <c r="G618" t="str">
        <v/>
      </c>
    </row>
    <row r="619" ht="12.75" customHeight="1">
      <c r="G619" t="str">
        <v/>
      </c>
    </row>
    <row r="620" ht="12.75" customHeight="1">
      <c r="G620" t="str">
        <v/>
      </c>
    </row>
    <row r="621" ht="12.75" customHeight="1">
      <c r="G621" t="str">
        <v/>
      </c>
    </row>
    <row r="622" ht="12.75" customHeight="1">
      <c r="G622" t="str">
        <v/>
      </c>
    </row>
    <row r="623" ht="12.75" customHeight="1">
      <c r="G623" t="str">
        <v/>
      </c>
    </row>
    <row r="624" ht="12.75" customHeight="1">
      <c r="G624" t="str">
        <v/>
      </c>
    </row>
    <row r="625" ht="12.75" customHeight="1">
      <c r="G625" t="str">
        <v/>
      </c>
    </row>
    <row r="626" ht="12.75" customHeight="1">
      <c r="G626" t="str">
        <v/>
      </c>
    </row>
    <row r="627" ht="12.75" customHeight="1">
      <c r="G627" t="str">
        <v/>
      </c>
    </row>
    <row r="628" ht="12.75" customHeight="1">
      <c r="G628" t="str">
        <v/>
      </c>
    </row>
    <row r="629" ht="12.75" customHeight="1">
      <c r="G629" t="str">
        <v/>
      </c>
    </row>
    <row r="630" ht="12.75" customHeight="1">
      <c r="G630" t="str">
        <v/>
      </c>
    </row>
    <row r="631" ht="12.75" customHeight="1">
      <c r="G631" t="str">
        <v/>
      </c>
    </row>
    <row r="632" ht="12.75" customHeight="1">
      <c r="G632" t="str">
        <v/>
      </c>
    </row>
    <row r="633" ht="12.75" customHeight="1">
      <c r="G633" t="str">
        <v/>
      </c>
    </row>
    <row r="634" ht="12.75" customHeight="1">
      <c r="G634" t="str">
        <v/>
      </c>
    </row>
    <row r="635" ht="12.75" customHeight="1">
      <c r="G635" t="str">
        <v/>
      </c>
    </row>
    <row r="636" ht="12.75" customHeight="1">
      <c r="G636" t="str">
        <v/>
      </c>
    </row>
    <row r="637" ht="12.75" customHeight="1">
      <c r="G637" t="str">
        <v/>
      </c>
    </row>
    <row r="638" ht="12.75" customHeight="1">
      <c r="G638" t="str">
        <v/>
      </c>
    </row>
    <row r="639" ht="12.75" customHeight="1">
      <c r="G639" t="str">
        <v/>
      </c>
    </row>
    <row r="640" ht="12.75" customHeight="1">
      <c r="G640" t="str">
        <v/>
      </c>
    </row>
    <row r="641" ht="12.75" customHeight="1">
      <c r="G641" t="str">
        <v/>
      </c>
    </row>
    <row r="642" ht="12.75" customHeight="1">
      <c r="G642" t="str">
        <v/>
      </c>
    </row>
    <row r="643" ht="12.75" customHeight="1">
      <c r="G643" t="str">
        <v/>
      </c>
    </row>
    <row r="644" ht="12.75" customHeight="1">
      <c r="G644" t="str">
        <v/>
      </c>
    </row>
    <row r="645" ht="12.75" customHeight="1">
      <c r="G645" t="str">
        <v/>
      </c>
    </row>
    <row r="646" ht="12.75" customHeight="1">
      <c r="G646" t="str">
        <v/>
      </c>
    </row>
    <row r="647" ht="12.75" customHeight="1">
      <c r="G647" t="str">
        <v/>
      </c>
    </row>
    <row r="648" ht="12.75" customHeight="1">
      <c r="G648" t="str">
        <v/>
      </c>
    </row>
    <row r="649" ht="12.75" customHeight="1">
      <c r="G649" t="str">
        <v/>
      </c>
    </row>
    <row r="650" ht="12.75" customHeight="1">
      <c r="G650" t="str">
        <v/>
      </c>
    </row>
    <row r="651" ht="12.75" customHeight="1">
      <c r="G651" t="str">
        <v/>
      </c>
    </row>
    <row r="652" ht="12.75" customHeight="1">
      <c r="G652" t="str">
        <v/>
      </c>
    </row>
    <row r="653" ht="12.75" customHeight="1">
      <c r="G653" t="str">
        <v/>
      </c>
    </row>
    <row r="654" ht="12.75" customHeight="1">
      <c r="G654" t="str">
        <v/>
      </c>
    </row>
    <row r="655" ht="12.75" customHeight="1">
      <c r="G655" t="str">
        <v/>
      </c>
    </row>
    <row r="656" ht="12.75" customHeight="1">
      <c r="G656" t="str">
        <v/>
      </c>
    </row>
    <row r="657" ht="12.75" customHeight="1">
      <c r="G657" t="str">
        <v/>
      </c>
    </row>
    <row r="658" ht="12.75" customHeight="1">
      <c r="G658" t="str">
        <v/>
      </c>
    </row>
    <row r="659" ht="12.75" customHeight="1">
      <c r="G659" t="str">
        <v/>
      </c>
    </row>
    <row r="660" ht="12.75" customHeight="1">
      <c r="G660" t="str">
        <v/>
      </c>
    </row>
    <row r="661" ht="12.75" customHeight="1">
      <c r="G661" t="str">
        <v/>
      </c>
    </row>
    <row r="662" ht="12.75" customHeight="1">
      <c r="G662" t="str">
        <v/>
      </c>
    </row>
    <row r="663" ht="12.75" customHeight="1">
      <c r="G663" t="str">
        <v/>
      </c>
    </row>
    <row r="664" ht="12.75" customHeight="1">
      <c r="G664" t="str">
        <v/>
      </c>
    </row>
    <row r="665" ht="12.75" customHeight="1">
      <c r="G665" t="str">
        <v/>
      </c>
    </row>
    <row r="666" ht="12.75" customHeight="1">
      <c r="G666" t="str">
        <v/>
      </c>
    </row>
    <row r="667" ht="12.75" customHeight="1">
      <c r="G667" t="str">
        <v/>
      </c>
    </row>
    <row r="668" ht="12.75" customHeight="1">
      <c r="G668" t="str">
        <v/>
      </c>
    </row>
    <row r="669" ht="12.75" customHeight="1">
      <c r="G669" t="str">
        <v/>
      </c>
    </row>
    <row r="670" ht="12.75" customHeight="1">
      <c r="G670" t="str">
        <v/>
      </c>
    </row>
    <row r="671" ht="12.75" customHeight="1">
      <c r="G671" t="str">
        <v/>
      </c>
    </row>
    <row r="672" ht="12.75" customHeight="1">
      <c r="G672" t="str">
        <v/>
      </c>
    </row>
    <row r="673" ht="12.75" customHeight="1">
      <c r="G673" t="str">
        <v/>
      </c>
    </row>
    <row r="674" ht="12.75" customHeight="1">
      <c r="G674" t="str">
        <v/>
      </c>
    </row>
    <row r="675" ht="12.75" customHeight="1">
      <c r="G675" t="str">
        <v/>
      </c>
    </row>
    <row r="676" ht="12.75" customHeight="1">
      <c r="G676" t="str">
        <v/>
      </c>
    </row>
    <row r="677" ht="12.75" customHeight="1">
      <c r="G677" t="str">
        <v/>
      </c>
    </row>
    <row r="678" ht="12.75" customHeight="1">
      <c r="G678" t="str">
        <v/>
      </c>
    </row>
    <row r="679" ht="12.75" customHeight="1">
      <c r="G679" t="str">
        <v/>
      </c>
    </row>
    <row r="680" ht="12.75" customHeight="1">
      <c r="G680" t="str">
        <v/>
      </c>
    </row>
    <row r="681" ht="12.75" customHeight="1">
      <c r="G681" t="str">
        <v/>
      </c>
    </row>
    <row r="682" ht="12.75" customHeight="1">
      <c r="G682" t="str">
        <v/>
      </c>
    </row>
    <row r="683" ht="12.75" customHeight="1">
      <c r="G683" t="str">
        <v/>
      </c>
    </row>
    <row r="684" ht="12.75" customHeight="1">
      <c r="G684" t="str">
        <v/>
      </c>
    </row>
    <row r="685" ht="12.75" customHeight="1">
      <c r="G685" t="str">
        <v/>
      </c>
    </row>
    <row r="686" ht="12.75" customHeight="1">
      <c r="G686" t="str">
        <v/>
      </c>
    </row>
    <row r="687" ht="12.75" customHeight="1">
      <c r="G687" t="str">
        <v/>
      </c>
    </row>
    <row r="688" ht="12.75" customHeight="1">
      <c r="G688" t="str">
        <v/>
      </c>
    </row>
    <row r="689" ht="12.75" customHeight="1">
      <c r="G689" t="str">
        <v/>
      </c>
    </row>
    <row r="690" ht="12.75" customHeight="1">
      <c r="G690" t="str">
        <v/>
      </c>
    </row>
    <row r="691" ht="12.75" customHeight="1">
      <c r="G691" t="str">
        <v/>
      </c>
    </row>
    <row r="692" ht="12.75" customHeight="1">
      <c r="G692" t="str">
        <v/>
      </c>
    </row>
    <row r="693" ht="12.75" customHeight="1">
      <c r="G693" t="str">
        <v/>
      </c>
    </row>
    <row r="694" ht="12.75" customHeight="1">
      <c r="G694" t="str">
        <v/>
      </c>
    </row>
    <row r="695" ht="12.75" customHeight="1">
      <c r="G695" t="str">
        <v/>
      </c>
    </row>
    <row r="696" ht="12.75" customHeight="1">
      <c r="G696" t="str">
        <v/>
      </c>
    </row>
    <row r="697" ht="12.75" customHeight="1">
      <c r="G697" t="str">
        <v/>
      </c>
    </row>
    <row r="698" ht="12.75" customHeight="1">
      <c r="G698" t="str">
        <v/>
      </c>
    </row>
    <row r="699" ht="12.75" customHeight="1">
      <c r="G699" t="str">
        <v/>
      </c>
    </row>
    <row r="700" ht="12.75" customHeight="1">
      <c r="G700" t="str">
        <v/>
      </c>
    </row>
    <row r="701" ht="12.75" customHeight="1">
      <c r="G701" t="str">
        <v/>
      </c>
    </row>
    <row r="702" ht="12.75" customHeight="1">
      <c r="G702" t="str">
        <v/>
      </c>
    </row>
    <row r="703" ht="12.75" customHeight="1">
      <c r="G703" t="str">
        <v/>
      </c>
    </row>
    <row r="704" ht="12.75" customHeight="1">
      <c r="G704" t="str">
        <v/>
      </c>
    </row>
    <row r="705" ht="12.75" customHeight="1">
      <c r="G705" t="str">
        <v/>
      </c>
    </row>
    <row r="706" ht="12.75" customHeight="1">
      <c r="G706" t="str">
        <v/>
      </c>
    </row>
    <row r="707" ht="12.75" customHeight="1">
      <c r="G707" t="str">
        <v/>
      </c>
    </row>
    <row r="708" ht="12.75" customHeight="1">
      <c r="G708" t="str">
        <v/>
      </c>
    </row>
    <row r="709" ht="12.75" customHeight="1">
      <c r="G709" t="str">
        <v/>
      </c>
    </row>
    <row r="710" ht="12.75" customHeight="1">
      <c r="G710" t="str">
        <v/>
      </c>
    </row>
    <row r="711" ht="12.75" customHeight="1">
      <c r="G711" t="str">
        <v/>
      </c>
    </row>
    <row r="712" ht="12.75" customHeight="1">
      <c r="G712" t="str">
        <v/>
      </c>
    </row>
    <row r="713" ht="12.75" customHeight="1">
      <c r="G713" t="str">
        <v/>
      </c>
    </row>
    <row r="714" ht="12.75" customHeight="1">
      <c r="G714" t="str">
        <v/>
      </c>
    </row>
    <row r="715" ht="12.75" customHeight="1">
      <c r="G715" t="str">
        <v/>
      </c>
    </row>
    <row r="716" ht="12.75" customHeight="1">
      <c r="G716" t="str">
        <v/>
      </c>
    </row>
    <row r="717" ht="12.75" customHeight="1">
      <c r="G717" t="str">
        <v/>
      </c>
    </row>
    <row r="718" ht="12.75" customHeight="1">
      <c r="G718" t="str">
        <v/>
      </c>
    </row>
    <row r="719" ht="12.75" customHeight="1">
      <c r="G719" t="str">
        <v/>
      </c>
    </row>
    <row r="720" ht="12.75" customHeight="1">
      <c r="G720" t="str">
        <v/>
      </c>
    </row>
    <row r="721" ht="12.75" customHeight="1">
      <c r="G721" t="str">
        <v/>
      </c>
    </row>
    <row r="722" ht="12.75" customHeight="1">
      <c r="G722" t="str">
        <v/>
      </c>
    </row>
    <row r="723" ht="12.75" customHeight="1">
      <c r="G723" t="str">
        <v/>
      </c>
    </row>
    <row r="724" ht="12.75" customHeight="1">
      <c r="G724" t="str">
        <v/>
      </c>
    </row>
    <row r="725" ht="12.75" customHeight="1">
      <c r="G725" t="str">
        <v/>
      </c>
    </row>
    <row r="726" ht="12.75" customHeight="1">
      <c r="G726" t="str">
        <v/>
      </c>
    </row>
    <row r="727" ht="12.75" customHeight="1">
      <c r="G727" t="str">
        <v/>
      </c>
    </row>
    <row r="728" ht="12.75" customHeight="1">
      <c r="G728" t="str">
        <v/>
      </c>
    </row>
    <row r="729" ht="12.75" customHeight="1">
      <c r="G729" t="str">
        <v/>
      </c>
    </row>
    <row r="730" ht="12.75" customHeight="1">
      <c r="G730" t="str">
        <v/>
      </c>
    </row>
    <row r="731" ht="12.75" customHeight="1">
      <c r="G731" t="str">
        <v/>
      </c>
    </row>
    <row r="732" ht="12.75" customHeight="1">
      <c r="G732" t="str">
        <v/>
      </c>
    </row>
    <row r="733" ht="12.75" customHeight="1">
      <c r="G733" t="str">
        <v/>
      </c>
    </row>
    <row r="734" ht="12.75" customHeight="1">
      <c r="G734" t="str">
        <v/>
      </c>
    </row>
    <row r="735" ht="12.75" customHeight="1">
      <c r="G735" t="str">
        <v/>
      </c>
    </row>
    <row r="736" ht="12.75" customHeight="1">
      <c r="G736" t="str">
        <v/>
      </c>
    </row>
    <row r="737" ht="12.75" customHeight="1">
      <c r="G737" t="str">
        <v/>
      </c>
    </row>
    <row r="738" ht="12.75" customHeight="1">
      <c r="G738" t="str">
        <v/>
      </c>
    </row>
    <row r="739" ht="12.75" customHeight="1">
      <c r="G739" t="str">
        <v/>
      </c>
    </row>
    <row r="740" ht="12.75" customHeight="1">
      <c r="G740" t="str">
        <v/>
      </c>
    </row>
    <row r="741" ht="12.75" customHeight="1">
      <c r="G741" t="str">
        <v/>
      </c>
    </row>
    <row r="742" ht="12.75" customHeight="1">
      <c r="G742" t="str">
        <v/>
      </c>
    </row>
    <row r="743" ht="12.75" customHeight="1">
      <c r="G743" t="str">
        <v/>
      </c>
    </row>
    <row r="744" ht="12.75" customHeight="1">
      <c r="G744" t="str">
        <v/>
      </c>
    </row>
    <row r="745" ht="12.75" customHeight="1">
      <c r="G745" t="str">
        <v/>
      </c>
    </row>
    <row r="746" ht="12.75" customHeight="1">
      <c r="G746" t="str">
        <v/>
      </c>
    </row>
    <row r="747" ht="12.75" customHeight="1">
      <c r="G747" t="str">
        <v/>
      </c>
    </row>
    <row r="748" ht="12.75" customHeight="1">
      <c r="G748" t="str">
        <v/>
      </c>
    </row>
    <row r="749" ht="12.75" customHeight="1">
      <c r="G749" t="str">
        <v/>
      </c>
    </row>
    <row r="750" ht="12.75" customHeight="1">
      <c r="G750" t="str">
        <v/>
      </c>
    </row>
    <row r="751" ht="12.75" customHeight="1">
      <c r="G751" t="str">
        <v/>
      </c>
    </row>
    <row r="752" ht="12.75" customHeight="1">
      <c r="G752" t="str">
        <v/>
      </c>
    </row>
    <row r="753" ht="12.75" customHeight="1">
      <c r="G753" t="str">
        <v/>
      </c>
    </row>
    <row r="754" ht="12.75" customHeight="1">
      <c r="G754" t="str">
        <v/>
      </c>
    </row>
    <row r="755" ht="12.75" customHeight="1">
      <c r="G755" t="str">
        <v/>
      </c>
    </row>
    <row r="756" ht="12.75" customHeight="1">
      <c r="G756" t="str">
        <v/>
      </c>
    </row>
    <row r="757" ht="12.75" customHeight="1">
      <c r="G757" t="str">
        <v/>
      </c>
    </row>
    <row r="758" ht="12.75" customHeight="1">
      <c r="G758" t="str">
        <v/>
      </c>
    </row>
    <row r="759" ht="12.75" customHeight="1">
      <c r="G759" t="str">
        <v/>
      </c>
    </row>
    <row r="760" ht="12.75" customHeight="1">
      <c r="G760" t="str">
        <v/>
      </c>
    </row>
    <row r="761" ht="12.75" customHeight="1">
      <c r="G761" t="str">
        <v/>
      </c>
    </row>
    <row r="762" ht="12.75" customHeight="1">
      <c r="G762" t="str">
        <v/>
      </c>
    </row>
    <row r="763" ht="12.75" customHeight="1">
      <c r="G763" t="str">
        <v/>
      </c>
    </row>
    <row r="764" ht="12.75" customHeight="1">
      <c r="G764" t="str">
        <v/>
      </c>
    </row>
    <row r="765" ht="12.75" customHeight="1">
      <c r="G765" t="str">
        <v/>
      </c>
    </row>
    <row r="766" ht="12.75" customHeight="1">
      <c r="G766" t="str">
        <v/>
      </c>
    </row>
    <row r="767" ht="12.75" customHeight="1">
      <c r="G767" t="str">
        <v/>
      </c>
    </row>
    <row r="768" ht="12.75" customHeight="1">
      <c r="G768" t="str">
        <v/>
      </c>
    </row>
    <row r="769" ht="12.75" customHeight="1">
      <c r="G769" t="str">
        <v/>
      </c>
    </row>
    <row r="770" ht="12.75" customHeight="1">
      <c r="G770" t="str">
        <v/>
      </c>
    </row>
    <row r="771" ht="12.75" customHeight="1">
      <c r="G771" t="str">
        <v/>
      </c>
    </row>
    <row r="772" ht="12.75" customHeight="1">
      <c r="G772" t="str">
        <v/>
      </c>
    </row>
    <row r="773" ht="12.75" customHeight="1">
      <c r="G773" t="str">
        <v/>
      </c>
    </row>
    <row r="774" ht="12.75" customHeight="1">
      <c r="G774" t="str">
        <v/>
      </c>
    </row>
    <row r="775" ht="12.75" customHeight="1">
      <c r="G775" t="str">
        <v/>
      </c>
    </row>
    <row r="776" ht="12.75" customHeight="1">
      <c r="G776" t="str">
        <v/>
      </c>
    </row>
    <row r="777" ht="12.75" customHeight="1">
      <c r="G777" t="str">
        <v/>
      </c>
    </row>
    <row r="778" ht="12.75" customHeight="1">
      <c r="G778" t="str">
        <v/>
      </c>
    </row>
    <row r="779" ht="12.75" customHeight="1">
      <c r="G779" t="str">
        <v/>
      </c>
    </row>
    <row r="780" ht="12.75" customHeight="1">
      <c r="G780" t="str">
        <v/>
      </c>
    </row>
    <row r="781" ht="12.75" customHeight="1">
      <c r="G781" t="str">
        <v/>
      </c>
    </row>
    <row r="782" ht="12.75" customHeight="1">
      <c r="G782" t="str">
        <v/>
      </c>
    </row>
    <row r="783" ht="12.75" customHeight="1">
      <c r="G783" t="str">
        <v/>
      </c>
    </row>
    <row r="784" ht="12.75" customHeight="1">
      <c r="G784" t="str">
        <v/>
      </c>
    </row>
    <row r="785" ht="12.75" customHeight="1">
      <c r="G785" t="str">
        <v/>
      </c>
    </row>
    <row r="786" ht="12.75" customHeight="1">
      <c r="G786" t="str">
        <v/>
      </c>
    </row>
    <row r="787" ht="12.75" customHeight="1">
      <c r="G787" t="str">
        <v/>
      </c>
    </row>
    <row r="788" ht="12.75" customHeight="1">
      <c r="G788" t="str">
        <v/>
      </c>
    </row>
    <row r="789" ht="12.75" customHeight="1">
      <c r="G789" t="str">
        <v/>
      </c>
    </row>
    <row r="790" ht="12.75" customHeight="1">
      <c r="G790" t="str">
        <v/>
      </c>
    </row>
    <row r="791" ht="12.75" customHeight="1">
      <c r="G791" t="str">
        <v/>
      </c>
    </row>
    <row r="792" ht="12.75" customHeight="1">
      <c r="G792" t="str">
        <v/>
      </c>
    </row>
    <row r="793" ht="12.75" customHeight="1">
      <c r="G793" t="str">
        <v/>
      </c>
    </row>
    <row r="794" ht="12.75" customHeight="1">
      <c r="G794" t="str">
        <v/>
      </c>
    </row>
    <row r="795" ht="12.75" customHeight="1">
      <c r="G795" t="str">
        <v/>
      </c>
    </row>
    <row r="796" ht="12.75" customHeight="1">
      <c r="G796" t="str">
        <v/>
      </c>
    </row>
    <row r="797" ht="12.75" customHeight="1">
      <c r="G797" t="str">
        <v/>
      </c>
    </row>
    <row r="798" ht="12.75" customHeight="1">
      <c r="G798" t="str">
        <v/>
      </c>
    </row>
    <row r="799" ht="12.75" customHeight="1">
      <c r="G799" t="str">
        <v/>
      </c>
    </row>
    <row r="800" ht="12.75" customHeight="1">
      <c r="G800" t="str">
        <v/>
      </c>
    </row>
    <row r="801" ht="12.75" customHeight="1">
      <c r="G801" t="str">
        <v/>
      </c>
    </row>
    <row r="802" ht="12.75" customHeight="1">
      <c r="G802" t="str">
        <v/>
      </c>
    </row>
    <row r="803" ht="12.75" customHeight="1">
      <c r="G803" t="str">
        <v/>
      </c>
    </row>
    <row r="804" ht="12.75" customHeight="1">
      <c r="G804" t="str">
        <v/>
      </c>
    </row>
    <row r="805" ht="12.75" customHeight="1">
      <c r="G805" t="str">
        <v/>
      </c>
    </row>
    <row r="806" ht="12.75" customHeight="1">
      <c r="G806" t="str">
        <v/>
      </c>
    </row>
    <row r="807" ht="12.75" customHeight="1">
      <c r="G807" t="str">
        <v/>
      </c>
    </row>
    <row r="808" ht="12.75" customHeight="1">
      <c r="G808" t="str">
        <v/>
      </c>
    </row>
    <row r="809" ht="12.75" customHeight="1">
      <c r="G809" t="str">
        <v/>
      </c>
    </row>
    <row r="810" ht="12.75" customHeight="1">
      <c r="G810" t="str">
        <v/>
      </c>
    </row>
    <row r="811" ht="12.75" customHeight="1">
      <c r="G811" t="str">
        <v/>
      </c>
    </row>
    <row r="812" ht="12.75" customHeight="1">
      <c r="G812" t="str">
        <v/>
      </c>
    </row>
    <row r="813" ht="12.75" customHeight="1">
      <c r="G813" t="str">
        <v/>
      </c>
    </row>
    <row r="814" ht="12.75" customHeight="1">
      <c r="G814" t="str">
        <v/>
      </c>
    </row>
    <row r="815" ht="12.75" customHeight="1">
      <c r="G815" t="str">
        <v/>
      </c>
    </row>
    <row r="816" ht="12.75" customHeight="1">
      <c r="G816" t="str">
        <v/>
      </c>
    </row>
    <row r="817" ht="12.75" customHeight="1">
      <c r="G817" t="str">
        <v/>
      </c>
    </row>
    <row r="818" ht="12.75" customHeight="1">
      <c r="G818" t="str">
        <v/>
      </c>
    </row>
    <row r="819" ht="12.75" customHeight="1">
      <c r="G819" t="str">
        <v/>
      </c>
    </row>
    <row r="820" ht="12.75" customHeight="1">
      <c r="G820" t="str">
        <v/>
      </c>
    </row>
    <row r="821" ht="12.75" customHeight="1">
      <c r="G821" t="str">
        <v/>
      </c>
    </row>
    <row r="822" ht="12.75" customHeight="1">
      <c r="G822" t="str">
        <v/>
      </c>
    </row>
    <row r="823" ht="12.75" customHeight="1">
      <c r="G823" t="str">
        <v/>
      </c>
    </row>
    <row r="824" ht="12.75" customHeight="1">
      <c r="G824" t="str">
        <v/>
      </c>
    </row>
    <row r="825" ht="12.75" customHeight="1">
      <c r="G825" t="str">
        <v/>
      </c>
    </row>
    <row r="826" ht="12.75" customHeight="1">
      <c r="G826" t="str">
        <v/>
      </c>
    </row>
    <row r="827" ht="12.75" customHeight="1">
      <c r="G827" t="str">
        <v/>
      </c>
    </row>
    <row r="828" ht="12.75" customHeight="1">
      <c r="G828" t="str">
        <v/>
      </c>
    </row>
    <row r="829" ht="12.75" customHeight="1">
      <c r="G829" t="str">
        <v/>
      </c>
    </row>
    <row r="830" ht="12.75" customHeight="1">
      <c r="G830" t="str">
        <v/>
      </c>
    </row>
    <row r="831" ht="12.75" customHeight="1">
      <c r="G831" t="str">
        <v/>
      </c>
    </row>
    <row r="832" ht="12.75" customHeight="1">
      <c r="G832" t="str">
        <v/>
      </c>
    </row>
    <row r="833" ht="12.75" customHeight="1">
      <c r="G833" t="str">
        <v/>
      </c>
    </row>
    <row r="834" ht="12.75" customHeight="1">
      <c r="G834" t="str">
        <v/>
      </c>
    </row>
    <row r="835" ht="12.75" customHeight="1">
      <c r="G835" t="str">
        <v/>
      </c>
    </row>
    <row r="836" ht="12.75" customHeight="1">
      <c r="G836" t="str">
        <v/>
      </c>
    </row>
    <row r="837" ht="12.75" customHeight="1">
      <c r="G837" t="str">
        <v/>
      </c>
    </row>
    <row r="838" ht="12.75" customHeight="1">
      <c r="G838" t="str">
        <v/>
      </c>
    </row>
    <row r="839" ht="12.75" customHeight="1">
      <c r="G839" t="str">
        <v/>
      </c>
    </row>
    <row r="840" ht="12.75" customHeight="1">
      <c r="G840" t="str">
        <v/>
      </c>
    </row>
    <row r="841" ht="12.75" customHeight="1">
      <c r="G841" t="str">
        <v/>
      </c>
    </row>
    <row r="842" ht="12.75" customHeight="1">
      <c r="G842" t="str">
        <v/>
      </c>
    </row>
    <row r="843" ht="12.75" customHeight="1">
      <c r="G843" t="str">
        <v/>
      </c>
    </row>
    <row r="844" ht="12.75" customHeight="1">
      <c r="G844" t="str">
        <v/>
      </c>
    </row>
    <row r="845" ht="12.75" customHeight="1">
      <c r="G845" t="str">
        <v/>
      </c>
    </row>
    <row r="846" ht="12.75" customHeight="1">
      <c r="G846" t="str">
        <v/>
      </c>
    </row>
    <row r="847" ht="12.75" customHeight="1">
      <c r="G847" t="str">
        <v/>
      </c>
    </row>
    <row r="848" ht="12.75" customHeight="1">
      <c r="G848" t="str">
        <v/>
      </c>
    </row>
    <row r="849" ht="12.75" customHeight="1">
      <c r="G849" t="str">
        <v/>
      </c>
    </row>
    <row r="850" ht="12.75" customHeight="1">
      <c r="G850" t="str">
        <v/>
      </c>
    </row>
    <row r="851" ht="12.75" customHeight="1">
      <c r="G851" t="str">
        <v/>
      </c>
    </row>
    <row r="852" ht="12.75" customHeight="1">
      <c r="G852" t="str">
        <v/>
      </c>
    </row>
    <row r="853" ht="12.75" customHeight="1">
      <c r="G853" t="str">
        <v/>
      </c>
    </row>
    <row r="854" ht="12.75" customHeight="1">
      <c r="G854" t="str">
        <v/>
      </c>
    </row>
    <row r="855" ht="12.75" customHeight="1">
      <c r="G855" t="str">
        <v/>
      </c>
    </row>
    <row r="856" ht="12.75" customHeight="1">
      <c r="G856" t="str">
        <v/>
      </c>
    </row>
    <row r="857" ht="12.75" customHeight="1">
      <c r="G857" t="str">
        <v/>
      </c>
    </row>
    <row r="858" ht="12.75" customHeight="1">
      <c r="G858" t="str">
        <v/>
      </c>
    </row>
    <row r="859" ht="12.75" customHeight="1">
      <c r="G859" t="str">
        <v/>
      </c>
    </row>
    <row r="860" ht="12.75" customHeight="1">
      <c r="G860" t="str">
        <v/>
      </c>
    </row>
    <row r="861" ht="12.75" customHeight="1">
      <c r="G861" t="str">
        <v/>
      </c>
    </row>
    <row r="862" ht="12.75" customHeight="1">
      <c r="G862" t="str">
        <v/>
      </c>
    </row>
    <row r="863" ht="12.75" customHeight="1">
      <c r="G863" t="str">
        <v/>
      </c>
    </row>
    <row r="864" ht="12.75" customHeight="1">
      <c r="G864" t="str">
        <v/>
      </c>
    </row>
    <row r="865" ht="12.75" customHeight="1">
      <c r="G865" t="str">
        <v/>
      </c>
    </row>
    <row r="866" ht="12.75" customHeight="1">
      <c r="G866" t="str">
        <v/>
      </c>
    </row>
    <row r="867" ht="12.75" customHeight="1">
      <c r="G867" t="str">
        <v/>
      </c>
    </row>
    <row r="868" ht="12.75" customHeight="1">
      <c r="G868" t="str">
        <v/>
      </c>
    </row>
    <row r="869" ht="12.75" customHeight="1">
      <c r="G869" t="str">
        <v/>
      </c>
    </row>
    <row r="870" ht="12.75" customHeight="1">
      <c r="G870" t="str">
        <v/>
      </c>
    </row>
    <row r="871" ht="12.75" customHeight="1">
      <c r="G871" t="str">
        <v/>
      </c>
    </row>
    <row r="872" ht="12.75" customHeight="1">
      <c r="G872" t="str">
        <v/>
      </c>
    </row>
    <row r="873" ht="12.75" customHeight="1">
      <c r="G873" t="str">
        <v/>
      </c>
    </row>
    <row r="874" ht="12.75" customHeight="1">
      <c r="G874" t="str">
        <v/>
      </c>
    </row>
    <row r="875" ht="12.75" customHeight="1">
      <c r="G875" t="str">
        <v/>
      </c>
    </row>
    <row r="876" ht="12.75" customHeight="1">
      <c r="G876" t="str">
        <v/>
      </c>
    </row>
    <row r="877" ht="12.75" customHeight="1">
      <c r="G877" t="str">
        <v/>
      </c>
    </row>
    <row r="878" ht="12.75" customHeight="1">
      <c r="G878" t="str">
        <v/>
      </c>
    </row>
    <row r="879" ht="12.75" customHeight="1">
      <c r="G879" t="str">
        <v/>
      </c>
    </row>
    <row r="880" ht="12.75" customHeight="1">
      <c r="G880" t="str">
        <v/>
      </c>
    </row>
    <row r="881" ht="12.75" customHeight="1">
      <c r="G881" t="str">
        <v/>
      </c>
    </row>
    <row r="882" ht="12.75" customHeight="1">
      <c r="G882" t="str">
        <v/>
      </c>
    </row>
    <row r="883" ht="12.75" customHeight="1">
      <c r="G883" t="str">
        <v/>
      </c>
    </row>
    <row r="884" ht="12.75" customHeight="1">
      <c r="G884" t="str">
        <v/>
      </c>
    </row>
    <row r="885" ht="12.75" customHeight="1">
      <c r="G885" t="str">
        <v/>
      </c>
    </row>
    <row r="886" ht="12.75" customHeight="1">
      <c r="G886" t="str">
        <v/>
      </c>
    </row>
    <row r="887" ht="12.75" customHeight="1">
      <c r="G887" t="str">
        <v/>
      </c>
    </row>
    <row r="888" ht="12.75" customHeight="1">
      <c r="G888" t="str">
        <v/>
      </c>
    </row>
    <row r="889" ht="12.75" customHeight="1">
      <c r="G889" t="str">
        <v/>
      </c>
    </row>
    <row r="890" ht="12.75" customHeight="1">
      <c r="G890" t="str">
        <v/>
      </c>
    </row>
    <row r="891" ht="12.75" customHeight="1">
      <c r="G891" t="str">
        <v/>
      </c>
    </row>
    <row r="892" ht="12.75" customHeight="1">
      <c r="G892" t="str">
        <v/>
      </c>
    </row>
    <row r="893" ht="12.75" customHeight="1">
      <c r="G893" t="str">
        <v/>
      </c>
    </row>
    <row r="894" ht="12.75" customHeight="1">
      <c r="G894" t="str">
        <v/>
      </c>
    </row>
    <row r="895" ht="12.75" customHeight="1">
      <c r="G895" t="str">
        <v/>
      </c>
    </row>
    <row r="896" ht="12.75" customHeight="1">
      <c r="G896" t="str">
        <v/>
      </c>
    </row>
    <row r="897" ht="12.75" customHeight="1">
      <c r="G897" t="str">
        <v/>
      </c>
    </row>
    <row r="898" ht="12.75" customHeight="1">
      <c r="G898" t="str">
        <v/>
      </c>
    </row>
    <row r="899" ht="12.75" customHeight="1">
      <c r="G899" t="str">
        <v/>
      </c>
    </row>
    <row r="900" ht="12.75" customHeight="1">
      <c r="G900" t="str">
        <v/>
      </c>
    </row>
    <row r="901" ht="12.75" customHeight="1">
      <c r="G901" t="str">
        <v/>
      </c>
    </row>
    <row r="902" ht="12.75" customHeight="1">
      <c r="G902" t="str">
        <v/>
      </c>
    </row>
    <row r="903" ht="12.75" customHeight="1">
      <c r="G903" t="str">
        <v/>
      </c>
    </row>
    <row r="904" ht="12.75" customHeight="1">
      <c r="G904" t="str">
        <v/>
      </c>
    </row>
    <row r="905" ht="12.75" customHeight="1">
      <c r="G905" t="str">
        <v/>
      </c>
    </row>
    <row r="906" ht="12.75" customHeight="1">
      <c r="G906" t="str">
        <v/>
      </c>
    </row>
    <row r="907" ht="12.75" customHeight="1">
      <c r="G907" t="str">
        <v/>
      </c>
    </row>
    <row r="908" ht="12.75" customHeight="1">
      <c r="G908" t="str">
        <v/>
      </c>
    </row>
    <row r="909" ht="12.75" customHeight="1">
      <c r="G909" t="str">
        <v/>
      </c>
    </row>
    <row r="910" ht="12.75" customHeight="1">
      <c r="G910" t="str">
        <v/>
      </c>
    </row>
    <row r="911" ht="12.75" customHeight="1">
      <c r="G911" t="str">
        <v/>
      </c>
    </row>
    <row r="912" ht="12.75" customHeight="1">
      <c r="G912" t="str">
        <v/>
      </c>
    </row>
    <row r="913" ht="12.75" customHeight="1">
      <c r="G913" t="str">
        <v/>
      </c>
    </row>
    <row r="914" ht="12.75" customHeight="1">
      <c r="G914" t="str">
        <v/>
      </c>
    </row>
    <row r="915" ht="12.75" customHeight="1">
      <c r="G915" t="str">
        <v/>
      </c>
    </row>
    <row r="916" ht="12.75" customHeight="1">
      <c r="G916" t="str">
        <v/>
      </c>
    </row>
    <row r="917" ht="12.75" customHeight="1">
      <c r="G917" t="str">
        <v/>
      </c>
    </row>
    <row r="918" ht="12.75" customHeight="1">
      <c r="G918" t="str">
        <v/>
      </c>
    </row>
    <row r="919" ht="12.75" customHeight="1">
      <c r="G919" t="str">
        <v/>
      </c>
    </row>
    <row r="920" ht="12.75" customHeight="1">
      <c r="G920" t="str">
        <v/>
      </c>
    </row>
    <row r="921" ht="12.75" customHeight="1">
      <c r="G921" t="str">
        <v/>
      </c>
    </row>
    <row r="922" ht="12.75" customHeight="1">
      <c r="G922" t="str">
        <v/>
      </c>
    </row>
    <row r="923" ht="12.75" customHeight="1">
      <c r="G923" t="str">
        <v/>
      </c>
    </row>
    <row r="924" ht="12.75" customHeight="1">
      <c r="G924" t="str">
        <v/>
      </c>
    </row>
    <row r="925" ht="12.75" customHeight="1">
      <c r="G925" t="str">
        <v/>
      </c>
    </row>
    <row r="926" ht="12.75" customHeight="1">
      <c r="G926" t="str">
        <v/>
      </c>
    </row>
    <row r="927" ht="12.75" customHeight="1">
      <c r="G927" t="str">
        <v/>
      </c>
    </row>
    <row r="928" ht="12.75" customHeight="1">
      <c r="G928" t="str">
        <v/>
      </c>
    </row>
    <row r="929" ht="12.75" customHeight="1">
      <c r="G929" t="str">
        <v/>
      </c>
    </row>
    <row r="930" ht="12.75" customHeight="1">
      <c r="G930" t="str">
        <v/>
      </c>
    </row>
    <row r="931" ht="12.75" customHeight="1">
      <c r="G931" t="str">
        <v/>
      </c>
    </row>
    <row r="932" ht="12.75" customHeight="1">
      <c r="G932" t="str">
        <v/>
      </c>
    </row>
    <row r="933" ht="12.75" customHeight="1">
      <c r="G933" t="str">
        <v/>
      </c>
    </row>
    <row r="934" ht="12.75" customHeight="1">
      <c r="G934" t="str">
        <v/>
      </c>
    </row>
    <row r="935" ht="12.75" customHeight="1">
      <c r="G935" t="str">
        <v/>
      </c>
    </row>
    <row r="936" ht="12.75" customHeight="1">
      <c r="G936" t="str">
        <v/>
      </c>
    </row>
    <row r="937" ht="12.75" customHeight="1">
      <c r="G937" t="str">
        <v/>
      </c>
    </row>
    <row r="938" ht="12.75" customHeight="1">
      <c r="G938" t="str">
        <v/>
      </c>
    </row>
    <row r="939" ht="12.75" customHeight="1">
      <c r="G939" t="str">
        <v/>
      </c>
    </row>
    <row r="940" ht="12.75" customHeight="1">
      <c r="G940" t="str">
        <v/>
      </c>
    </row>
    <row r="941" ht="12.75" customHeight="1">
      <c r="G941" t="str">
        <v/>
      </c>
    </row>
    <row r="942" ht="12.75" customHeight="1">
      <c r="G942" t="str">
        <v/>
      </c>
    </row>
    <row r="943" ht="12.75" customHeight="1">
      <c r="G943" t="str">
        <v/>
      </c>
    </row>
    <row r="944" ht="12.75" customHeight="1">
      <c r="G944" t="str">
        <v/>
      </c>
    </row>
    <row r="945" ht="12.75" customHeight="1">
      <c r="G945" t="str">
        <v/>
      </c>
    </row>
    <row r="946" ht="12.75" customHeight="1">
      <c r="G946" t="str">
        <v/>
      </c>
    </row>
    <row r="947" ht="12.75" customHeight="1">
      <c r="G947" t="str">
        <v/>
      </c>
    </row>
    <row r="948" ht="12.75" customHeight="1">
      <c r="G948" t="str">
        <v/>
      </c>
    </row>
    <row r="949" ht="12.75" customHeight="1">
      <c r="G949" t="str">
        <v/>
      </c>
    </row>
    <row r="950" ht="12.75" customHeight="1">
      <c r="G950" t="str">
        <v/>
      </c>
    </row>
    <row r="951" ht="12.75" customHeight="1">
      <c r="G951" t="str">
        <v/>
      </c>
    </row>
    <row r="952" ht="12.75" customHeight="1">
      <c r="G952" t="str">
        <v/>
      </c>
    </row>
    <row r="953" ht="12.75" customHeight="1">
      <c r="G953" t="str">
        <v/>
      </c>
    </row>
    <row r="954" ht="12.75" customHeight="1">
      <c r="G954" t="str">
        <v/>
      </c>
    </row>
    <row r="955" ht="12.75" customHeight="1">
      <c r="G955" t="str">
        <v/>
      </c>
    </row>
    <row r="956" ht="12.75" customHeight="1">
      <c r="G956" t="str">
        <v/>
      </c>
    </row>
    <row r="957" ht="12.75" customHeight="1">
      <c r="G957" t="str">
        <v/>
      </c>
    </row>
    <row r="958" ht="12.75" customHeight="1">
      <c r="G958" t="str">
        <v/>
      </c>
    </row>
    <row r="959" ht="12.75" customHeight="1">
      <c r="G959" t="str">
        <v/>
      </c>
    </row>
    <row r="960" ht="12.75" customHeight="1">
      <c r="G960" t="str">
        <v/>
      </c>
    </row>
    <row r="961" ht="12.75" customHeight="1">
      <c r="G961" t="str">
        <v/>
      </c>
    </row>
    <row r="962" ht="12.75" customHeight="1">
      <c r="G962" t="str">
        <v/>
      </c>
    </row>
    <row r="963" ht="12.75" customHeight="1">
      <c r="G963" t="str">
        <v/>
      </c>
    </row>
    <row r="964" ht="12.75" customHeight="1">
      <c r="G964" t="str">
        <v/>
      </c>
    </row>
    <row r="965" ht="12.75" customHeight="1">
      <c r="G965" t="str">
        <v/>
      </c>
    </row>
    <row r="966" ht="12.75" customHeight="1">
      <c r="G966" t="str">
        <v/>
      </c>
    </row>
    <row r="967" ht="12.75" customHeight="1">
      <c r="G967" t="str">
        <v/>
      </c>
    </row>
    <row r="968" ht="12.75" customHeight="1">
      <c r="G968" t="str">
        <v/>
      </c>
    </row>
    <row r="969" ht="12.75" customHeight="1">
      <c r="G969" t="str">
        <v/>
      </c>
    </row>
    <row r="970" ht="12.75" customHeight="1">
      <c r="G970" t="str">
        <v/>
      </c>
    </row>
    <row r="971" ht="12.75" customHeight="1">
      <c r="G971" t="str">
        <v/>
      </c>
    </row>
    <row r="972" ht="12.75" customHeight="1">
      <c r="G972" t="str">
        <v/>
      </c>
    </row>
    <row r="973" ht="12.75" customHeight="1">
      <c r="G973" t="str">
        <v/>
      </c>
    </row>
    <row r="974" ht="12.75" customHeight="1">
      <c r="G974" t="str">
        <v/>
      </c>
    </row>
    <row r="975" ht="12.75" customHeight="1">
      <c r="G975" t="str">
        <v/>
      </c>
    </row>
    <row r="976" ht="12.75" customHeight="1">
      <c r="G976" t="str">
        <v/>
      </c>
    </row>
    <row r="977" ht="12.75" customHeight="1">
      <c r="G977" t="str">
        <v/>
      </c>
    </row>
    <row r="978" ht="12.75" customHeight="1">
      <c r="G978" t="str">
        <v/>
      </c>
    </row>
    <row r="979" ht="12.75" customHeight="1">
      <c r="G979" t="str">
        <v/>
      </c>
    </row>
    <row r="980" ht="12.75" customHeight="1">
      <c r="G980" t="str">
        <v/>
      </c>
    </row>
    <row r="981" ht="12.75" customHeight="1">
      <c r="G981" t="str">
        <v/>
      </c>
    </row>
    <row r="982" ht="12.75" customHeight="1">
      <c r="G982" t="str">
        <v/>
      </c>
    </row>
    <row r="983" ht="12.75" customHeight="1">
      <c r="G983" t="str">
        <v/>
      </c>
    </row>
    <row r="984" ht="12.75" customHeight="1">
      <c r="G984" t="str">
        <v/>
      </c>
    </row>
    <row r="985" ht="12.75" customHeight="1">
      <c r="G985" t="str">
        <v/>
      </c>
    </row>
    <row r="986" ht="12.75" customHeight="1">
      <c r="G986" t="str">
        <v/>
      </c>
    </row>
    <row r="987" ht="12.75" customHeight="1">
      <c r="G987" t="str">
        <v/>
      </c>
    </row>
    <row r="988" ht="12.75" customHeight="1">
      <c r="G988" t="str">
        <v/>
      </c>
    </row>
    <row r="989" ht="12.75" customHeight="1">
      <c r="G989" t="str">
        <v/>
      </c>
    </row>
    <row r="990" ht="12.75" customHeight="1">
      <c r="G990" t="str">
        <v/>
      </c>
    </row>
    <row r="991" ht="12.75" customHeight="1">
      <c r="G991" t="str">
        <v/>
      </c>
    </row>
    <row r="992" ht="12.75" customHeight="1">
      <c r="G992" t="str">
        <v/>
      </c>
    </row>
    <row r="993" ht="12.75" customHeight="1">
      <c r="G993" t="str">
        <v/>
      </c>
    </row>
    <row r="994" ht="12.75" customHeight="1">
      <c r="G994" t="str">
        <v/>
      </c>
    </row>
    <row r="995" ht="12.75" customHeight="1">
      <c r="G995" t="str">
        <v/>
      </c>
    </row>
    <row r="996" ht="12.75" customHeight="1">
      <c r="G996" t="str">
        <v/>
      </c>
    </row>
    <row r="997" ht="12.75" customHeight="1">
      <c r="G997" t="str">
        <v/>
      </c>
    </row>
    <row r="998" ht="12.75" customHeight="1">
      <c r="G998" t="str">
        <v/>
      </c>
    </row>
  </sheetData>
  <pageMargins left="0.7" right="0.7" top="0.75" bottom="0.75" header="0" footer="0"/>
  <ignoredErrors>
    <ignoredError numberStoredAsText="1" sqref="A1:AC99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2"/>
  <sheetViews>
    <sheetView workbookViewId="0" rightToLeft="0"/>
  </sheetViews>
  <cols>
    <col min="1" max="1" customWidth="1" width="5.33203125"/>
    <col min="2" max="2" customWidth="1" width="7"/>
    <col min="3" max="3" customWidth="1" width="16.6640625"/>
    <col min="4" max="4" customWidth="1" width="12.6640625" hidden="true"/>
    <col min="5" max="5" customWidth="1" width="22.5"/>
    <col min="6" max="6" customWidth="1" width="22.83203125"/>
    <col min="7" max="7" customWidth="1" width="21.1640625"/>
    <col min="8" max="8" customWidth="1" width="18.5"/>
    <col min="10" max="10" customWidth="1" width="12.6640625" hidden="true"/>
    <col min="11" max="11" customWidth="1" width="11.1640625" hidden="true"/>
    <col min="12" max="12" customWidth="1" width="12.33203125" hidden="true"/>
    <col min="13" max="13" customWidth="1" width="16.1640625"/>
    <col min="14" max="14" customWidth="1" width="21.1640625"/>
    <col min="15" max="15" customWidth="1" width="20.1640625"/>
    <col min="16" max="16" customWidth="1" width="20.1640625"/>
  </cols>
  <sheetData>
    <row r="1">
      <c r="A1" t="str">
        <v>STT</v>
      </c>
      <c r="B1" t="str">
        <v>Stt</v>
      </c>
      <c r="C1" t="str">
        <v xml:space="preserve">Nguồn </v>
      </c>
      <c r="D1" t="str">
        <v>Sale</v>
      </c>
      <c r="E1" t="str">
        <v>Tình trạng</v>
      </c>
      <c r="F1" t="str">
        <v>Tên đoàn</v>
      </c>
      <c r="G1" t="str">
        <v>Thời gian</v>
      </c>
      <c r="H1" t="str">
        <v xml:space="preserve">Tuyến </v>
      </c>
      <c r="I1" t="str">
        <v>Số lượng</v>
      </c>
      <c r="J1" t="str">
        <v>Đại diện</v>
      </c>
      <c r="K1" t="str">
        <v>Phone</v>
      </c>
      <c r="L1" t="str">
        <v>Mail</v>
      </c>
      <c r="M1" s="1" t="str">
        <v>Giá bán</v>
      </c>
      <c r="N1" t="str">
        <v>Doanh thu</v>
      </c>
      <c r="O1" t="str">
        <v>THÁNG KH</v>
      </c>
      <c r="P1" t="str">
        <v>Đã lên Web</v>
      </c>
    </row>
    <row r="2" ht="15" customHeight="1">
      <c r="I2">
        <f>SUM(I4:I128)</f>
        <v>2036</v>
      </c>
      <c r="N2" s="1">
        <f>SUM(N4:N114)</f>
        <v>9234250000</v>
      </c>
    </row>
    <row r="3" ht="15" customHeight="1">
      <c r="B3" t="str">
        <f>IFERROR(__xludf.DUMMYFUNCTION("{'DATA 2026'!B1:O1;FILTER('DATA 2026'!B2:O1002,'DATA 2026'!E2:E1002=""Thành công"")}"),"")</f>
        <v/>
      </c>
    </row>
    <row r="4" ht="15" customHeight="1">
      <c r="A4">
        <v>1</v>
      </c>
      <c r="B4">
        <f>IFERROR(__xludf.DUMMYFUNCTION("""COMPUTED_VALUE"""),1)</f>
        <v>1</v>
      </c>
      <c r="C4" t="str">
        <f>IFERROR(__xludf.DUMMYFUNCTION("""COMPUTED_VALUE"""),"CEO/PGD")</f>
        <v>CEO/PGD</v>
      </c>
      <c r="D4" t="str">
        <f>IFERROR(__xludf.DUMMYFUNCTION("""COMPUTED_VALUE"""),"Vy Phan")</f>
        <v>Vy Phan</v>
      </c>
      <c r="E4" t="str">
        <f>IFERROR(__xludf.DUMMYFUNCTION("""COMPUTED_VALUE"""),"Thành công")</f>
        <v>Thành công</v>
      </c>
      <c r="F4" t="str">
        <f>IFERROR(__xludf.DUMMYFUNCTION("""COMPUTED_VALUE"""),"Draeger ")</f>
        <v xml:space="preserve">Draeger </v>
      </c>
      <c r="G4" t="str">
        <f>IFERROR(__xludf.DUMMYFUNCTION("""COMPUTED_VALUE"""),"28-30/01")</f>
        <v>28-30/01</v>
      </c>
      <c r="H4" t="str">
        <f>IFERROR(__xludf.DUMMYFUNCTION("""COMPUTED_VALUE"""),"Phú Quốc")</f>
        <v>Phú Quốc</v>
      </c>
      <c r="I4">
        <f>IFERROR(__xludf.DUMMYFUNCTION("""COMPUTED_VALUE"""),40)</f>
        <v>40</v>
      </c>
      <c r="M4" s="1">
        <f>IFERROR(__xludf.DUMMYFUNCTION("""COMPUTED_VALUE"""),12000000)</f>
        <v>12000000</v>
      </c>
      <c r="N4" s="1">
        <f>IFERROR(__xludf.DUMMYFUNCTION("""COMPUTED_VALUE"""),480000000)</f>
        <v>480000000</v>
      </c>
      <c r="O4" t="str">
        <f>IFERROR(__xludf.DUMMYFUNCTION("""COMPUTED_VALUE"""),"Tháng 01")</f>
        <v>Tháng 01</v>
      </c>
    </row>
    <row r="5" ht="15" customHeight="1">
      <c r="A5">
        <v>2</v>
      </c>
      <c r="B5">
        <f>IFERROR(__xludf.DUMMYFUNCTION("""COMPUTED_VALUE"""),2)</f>
        <v>2</v>
      </c>
      <c r="C5" t="str">
        <f>IFERROR(__xludf.DUMMYFUNCTION("""COMPUTED_VALUE"""),"CEO/PGD")</f>
        <v>CEO/PGD</v>
      </c>
      <c r="D5" t="str">
        <f>IFERROR(__xludf.DUMMYFUNCTION("""COMPUTED_VALUE"""),"Vy Phan")</f>
        <v>Vy Phan</v>
      </c>
      <c r="E5" t="str">
        <f>IFERROR(__xludf.DUMMYFUNCTION("""COMPUTED_VALUE"""),"Thành công")</f>
        <v>Thành công</v>
      </c>
      <c r="F5" t="str">
        <f>IFERROR(__xludf.DUMMYFUNCTION("""COMPUTED_VALUE"""),"Ngân hàng VIB")</f>
        <v>Ngân hàng VIB</v>
      </c>
      <c r="G5" s="2">
        <f>IFERROR(__xludf.DUMMYFUNCTION("""COMPUTED_VALUE"""),46060)</f>
        <v>46060</v>
      </c>
      <c r="H5" t="str">
        <f>IFERROR(__xludf.DUMMYFUNCTION("""COMPUTED_VALUE"""),"YEP - Miền Bắc")</f>
        <v>YEP - Miền Bắc</v>
      </c>
      <c r="I5">
        <f>IFERROR(__xludf.DUMMYFUNCTION("""COMPUTED_VALUE"""),250)</f>
        <v>250</v>
      </c>
      <c r="M5" s="1">
        <f>IFERROR(__xludf.DUMMYFUNCTION("""COMPUTED_VALUE"""),1200000)</f>
        <v>1200000</v>
      </c>
      <c r="N5" s="1">
        <f>IFERROR(__xludf.DUMMYFUNCTION("""COMPUTED_VALUE"""),300000000)</f>
        <v>300000000</v>
      </c>
      <c r="O5" t="str">
        <f>IFERROR(__xludf.DUMMYFUNCTION("""COMPUTED_VALUE"""),"Tháng 02")</f>
        <v>Tháng 02</v>
      </c>
      <c r="P5" t="str">
        <v>Done</v>
      </c>
    </row>
    <row r="6" ht="15" customHeight="1">
      <c r="A6">
        <v>3</v>
      </c>
      <c r="B6">
        <f>IFERROR(__xludf.DUMMYFUNCTION("""COMPUTED_VALUE"""),3)</f>
        <v>3</v>
      </c>
      <c r="C6" t="str">
        <f>IFERROR(__xludf.DUMMYFUNCTION("""COMPUTED_VALUE"""),"CEO/PGD")</f>
        <v>CEO/PGD</v>
      </c>
      <c r="D6" t="str">
        <f>IFERROR(__xludf.DUMMYFUNCTION("""COMPUTED_VALUE"""),"Vy Phan")</f>
        <v>Vy Phan</v>
      </c>
      <c r="E6" t="str">
        <f>IFERROR(__xludf.DUMMYFUNCTION("""COMPUTED_VALUE"""),"Thành công")</f>
        <v>Thành công</v>
      </c>
      <c r="F6" t="str">
        <f>IFERROR(__xludf.DUMMYFUNCTION("""COMPUTED_VALUE"""),"Ngân hàng VIB")</f>
        <v>Ngân hàng VIB</v>
      </c>
      <c r="G6" s="2">
        <f>IFERROR(__xludf.DUMMYFUNCTION("""COMPUTED_VALUE"""),46061)</f>
        <v>46061</v>
      </c>
      <c r="H6" t="str">
        <f>IFERROR(__xludf.DUMMYFUNCTION("""COMPUTED_VALUE"""),"YEP - Miền Nam")</f>
        <v>YEP - Miền Nam</v>
      </c>
      <c r="I6">
        <f>IFERROR(__xludf.DUMMYFUNCTION("""COMPUTED_VALUE"""),500)</f>
        <v>500</v>
      </c>
      <c r="M6" s="1">
        <f>IFERROR(__xludf.DUMMYFUNCTION("""COMPUTED_VALUE"""),1200000)</f>
        <v>1200000</v>
      </c>
      <c r="N6" s="1">
        <f>IFERROR(__xludf.DUMMYFUNCTION("""COMPUTED_VALUE"""),600000000)</f>
        <v>600000000</v>
      </c>
      <c r="O6" t="str">
        <f>IFERROR(__xludf.DUMMYFUNCTION("""COMPUTED_VALUE"""),"Tháng 02")</f>
        <v>Tháng 02</v>
      </c>
      <c r="P6" t="str">
        <v>Done</v>
      </c>
    </row>
    <row r="7" ht="15" customHeight="1">
      <c r="A7">
        <v>4</v>
      </c>
      <c r="B7">
        <f>IFERROR(__xludf.DUMMYFUNCTION("""COMPUTED_VALUE"""),4)</f>
        <v>4</v>
      </c>
      <c r="C7" t="str">
        <f>IFERROR(__xludf.DUMMYFUNCTION("""COMPUTED_VALUE"""),"CEO/PGD")</f>
        <v>CEO/PGD</v>
      </c>
      <c r="D7" t="str">
        <f>IFERROR(__xludf.DUMMYFUNCTION("""COMPUTED_VALUE"""),"Hầu Hưng")</f>
        <v>Hầu Hưng</v>
      </c>
      <c r="E7" t="str">
        <f>IFERROR(__xludf.DUMMYFUNCTION("""COMPUTED_VALUE"""),"Thành công")</f>
        <v>Thành công</v>
      </c>
      <c r="F7" t="str">
        <f>IFERROR(__xludf.DUMMYFUNCTION("""COMPUTED_VALUE"""),"Giáo dục Phương Nam")</f>
        <v>Giáo dục Phương Nam</v>
      </c>
      <c r="G7" s="2">
        <f>IFERROR(__xludf.DUMMYFUNCTION("""COMPUTED_VALUE"""),46060)</f>
        <v>46060</v>
      </c>
      <c r="H7" t="str">
        <f>IFERROR(__xludf.DUMMYFUNCTION("""COMPUTED_VALUE"""),"YEP - HCM")</f>
        <v>YEP - HCM</v>
      </c>
      <c r="I7">
        <f>IFERROR(__xludf.DUMMYFUNCTION("""COMPUTED_VALUE"""),200)</f>
        <v>200</v>
      </c>
      <c r="M7" s="1">
        <f>IFERROR(__xludf.DUMMYFUNCTION("""COMPUTED_VALUE"""),30000000)</f>
        <v>30000000</v>
      </c>
      <c r="N7" s="1">
        <f>IFERROR(__xludf.DUMMYFUNCTION("""COMPUTED_VALUE"""),30000000)</f>
        <v>30000000</v>
      </c>
      <c r="O7" t="str">
        <f>IFERROR(__xludf.DUMMYFUNCTION("""COMPUTED_VALUE"""),"Tháng 02")</f>
        <v>Tháng 02</v>
      </c>
      <c r="P7" t="str">
        <v>Done</v>
      </c>
    </row>
    <row r="8" ht="15" customHeight="1">
      <c r="A8">
        <v>5</v>
      </c>
      <c r="B8">
        <f>IFERROR(__xludf.DUMMYFUNCTION("""COMPUTED_VALUE"""),5)</f>
        <v>5</v>
      </c>
      <c r="C8" t="str">
        <f>IFERROR(__xludf.DUMMYFUNCTION("""COMPUTED_VALUE"""),"CEO/PGD")</f>
        <v>CEO/PGD</v>
      </c>
      <c r="D8" t="str">
        <f>IFERROR(__xludf.DUMMYFUNCTION("""COMPUTED_VALUE"""),"Vy Phan")</f>
        <v>Vy Phan</v>
      </c>
      <c r="E8" t="str">
        <f>IFERROR(__xludf.DUMMYFUNCTION("""COMPUTED_VALUE"""),"Thành công")</f>
        <v>Thành công</v>
      </c>
      <c r="F8" t="str">
        <f>IFERROR(__xludf.DUMMYFUNCTION("""COMPUTED_VALUE"""),"GD Bác Phấn")</f>
        <v>GD Bác Phấn</v>
      </c>
      <c r="G8" t="str">
        <f>IFERROR(__xludf.DUMMYFUNCTION("""COMPUTED_VALUE"""),"06-10/01")</f>
        <v>06-10/01</v>
      </c>
      <c r="H8" t="str">
        <f>IFERROR(__xludf.DUMMYFUNCTION("""COMPUTED_VALUE"""),"CITY HCM")</f>
        <v>CITY HCM</v>
      </c>
      <c r="I8">
        <f>IFERROR(__xludf.DUMMYFUNCTION("""COMPUTED_VALUE"""),2)</f>
        <v>2</v>
      </c>
      <c r="M8" s="1">
        <f>IFERROR(__xludf.DUMMYFUNCTION("""COMPUTED_VALUE"""),13000000)</f>
        <v>13000000</v>
      </c>
      <c r="N8" s="1">
        <f>IFERROR(__xludf.DUMMYFUNCTION("""COMPUTED_VALUE"""),26000000)</f>
        <v>26000000</v>
      </c>
      <c r="O8" t="str">
        <f>IFERROR(__xludf.DUMMYFUNCTION("""COMPUTED_VALUE"""),"Tháng 01")</f>
        <v>Tháng 01</v>
      </c>
    </row>
    <row r="9" ht="15" customHeight="1">
      <c r="A9">
        <v>6</v>
      </c>
      <c r="B9">
        <f>IFERROR(__xludf.DUMMYFUNCTION("""COMPUTED_VALUE"""),7)</f>
        <v>7</v>
      </c>
      <c r="C9" t="str">
        <f>IFERROR(__xludf.DUMMYFUNCTION("""COMPUTED_VALUE"""),"CEO/PGD")</f>
        <v>CEO/PGD</v>
      </c>
      <c r="D9" t="str">
        <f>IFERROR(__xludf.DUMMYFUNCTION("""COMPUTED_VALUE"""),"Hầu Hưng")</f>
        <v>Hầu Hưng</v>
      </c>
      <c r="E9" t="str">
        <f>IFERROR(__xludf.DUMMYFUNCTION("""COMPUTED_VALUE"""),"Thành công")</f>
        <v>Thành công</v>
      </c>
      <c r="F9" t="str">
        <f>IFERROR(__xludf.DUMMYFUNCTION("""COMPUTED_VALUE"""),"Draeger")</f>
        <v>Draeger</v>
      </c>
      <c r="G9" t="str">
        <f>IFERROR(__xludf.DUMMYFUNCTION("""COMPUTED_VALUE"""),"04-06/03")</f>
        <v>04-06/03</v>
      </c>
      <c r="H9" t="str">
        <f>IFERROR(__xludf.DUMMYFUNCTION("""COMPUTED_VALUE"""),"PHÚ YÊN")</f>
        <v>PHÚ YÊN</v>
      </c>
      <c r="I9">
        <f>IFERROR(__xludf.DUMMYFUNCTION("""COMPUTED_VALUE"""),30)</f>
        <v>30</v>
      </c>
      <c r="M9" s="1">
        <f>IFERROR(__xludf.DUMMYFUNCTION("""COMPUTED_VALUE"""),106260000)</f>
        <v>106260000</v>
      </c>
      <c r="N9" s="1">
        <f>IFERROR(__xludf.DUMMYFUNCTION("""COMPUTED_VALUE"""),106260000)</f>
        <v>106260000</v>
      </c>
      <c r="O9" t="str">
        <f>IFERROR(__xludf.DUMMYFUNCTION("""COMPUTED_VALUE"""),"Tháng 01")</f>
        <v>Tháng 01</v>
      </c>
    </row>
    <row r="10" ht="15" customHeight="1">
      <c r="A10">
        <v>7</v>
      </c>
      <c r="B10">
        <f>IFERROR(__xludf.DUMMYFUNCTION("""COMPUTED_VALUE"""),8)</f>
        <v>8</v>
      </c>
      <c r="C10" t="str">
        <f>IFERROR(__xludf.DUMMYFUNCTION("""COMPUTED_VALUE"""),"CEO/PGD")</f>
        <v>CEO/PGD</v>
      </c>
      <c r="D10" t="str">
        <f>IFERROR(__xludf.DUMMYFUNCTION("""COMPUTED_VALUE"""),"Hầu Hưng")</f>
        <v>Hầu Hưng</v>
      </c>
      <c r="E10" t="str">
        <f>IFERROR(__xludf.DUMMYFUNCTION("""COMPUTED_VALUE"""),"Thành công")</f>
        <v>Thành công</v>
      </c>
      <c r="F10" t="str">
        <f>IFERROR(__xludf.DUMMYFUNCTION("""COMPUTED_VALUE"""),"ECU")</f>
        <v>ECU</v>
      </c>
      <c r="G10" t="str">
        <f>IFERROR(__xludf.DUMMYFUNCTION("""COMPUTED_VALUE"""),"18-22/3")</f>
        <v>18-22/3</v>
      </c>
      <c r="H10" t="str">
        <f>IFERROR(__xludf.DUMMYFUNCTION("""COMPUTED_VALUE"""),"THÁI LAN")</f>
        <v>THÁI LAN</v>
      </c>
      <c r="I10">
        <f>IFERROR(__xludf.DUMMYFUNCTION("""COMPUTED_VALUE"""),32)</f>
        <v>32</v>
      </c>
      <c r="M10" s="1">
        <f>IFERROR(__xludf.DUMMYFUNCTION("""COMPUTED_VALUE"""),12500000)</f>
        <v>12500000</v>
      </c>
      <c r="N10" s="1">
        <f>IFERROR(__xludf.DUMMYFUNCTION("""COMPUTED_VALUE"""),400000000)</f>
        <v>400000000</v>
      </c>
      <c r="O10" t="str">
        <f>IFERROR(__xludf.DUMMYFUNCTION("""COMPUTED_VALUE"""),"Tháng 03")</f>
        <v>Tháng 03</v>
      </c>
      <c r="P10" t="str">
        <v>Done</v>
      </c>
    </row>
    <row r="11" ht="15" customHeight="1">
      <c r="A11">
        <v>8</v>
      </c>
      <c r="B11">
        <f>IFERROR(__xludf.DUMMYFUNCTION("""COMPUTED_VALUE"""),9)</f>
        <v>9</v>
      </c>
      <c r="C11" t="str">
        <f>IFERROR(__xludf.DUMMYFUNCTION("""COMPUTED_VALUE"""),"CEO/PGD")</f>
        <v>CEO/PGD</v>
      </c>
      <c r="D11" t="str">
        <f>IFERROR(__xludf.DUMMYFUNCTION("""COMPUTED_VALUE"""),"Hồng Trang")</f>
        <v>Hồng Trang</v>
      </c>
      <c r="E11" t="str">
        <f>IFERROR(__xludf.DUMMYFUNCTION("""COMPUTED_VALUE"""),"Thành công")</f>
        <v>Thành công</v>
      </c>
      <c r="F11" t="str">
        <f>IFERROR(__xludf.DUMMYFUNCTION("""COMPUTED_VALUE"""),"BOSCH SX")</f>
        <v>BOSCH SX</v>
      </c>
      <c r="G11" t="str">
        <f>IFERROR(__xludf.DUMMYFUNCTION("""COMPUTED_VALUE"""),"19/03-22/03")</f>
        <v>19/03-22/03</v>
      </c>
      <c r="H11" t="str">
        <f>IFERROR(__xludf.DUMMYFUNCTION("""COMPUTED_VALUE"""),"NHA TRANG")</f>
        <v>NHA TRANG</v>
      </c>
      <c r="I11">
        <f>IFERROR(__xludf.DUMMYFUNCTION("""COMPUTED_VALUE"""),250)</f>
        <v>250</v>
      </c>
      <c r="J11" t="str">
        <f>IFERROR(__xludf.DUMMYFUNCTION("""COMPUTED_VALUE"""),"Ms.Thục Uyên")</f>
        <v>Ms.Thục Uyên</v>
      </c>
      <c r="M11" s="1">
        <f>IFERROR(__xludf.DUMMYFUNCTION("""COMPUTED_VALUE"""),4200000)</f>
        <v>4200000</v>
      </c>
      <c r="N11" s="1">
        <f>IFERROR(__xludf.DUMMYFUNCTION("""COMPUTED_VALUE"""),1050000000)</f>
        <v>1050000000</v>
      </c>
      <c r="O11" t="str">
        <f>IFERROR(__xludf.DUMMYFUNCTION("""COMPUTED_VALUE"""),"Tháng 03")</f>
        <v>Tháng 03</v>
      </c>
      <c r="P11" t="str">
        <v>Done</v>
      </c>
    </row>
    <row r="12" ht="15" customHeight="1">
      <c r="A12">
        <v>9</v>
      </c>
      <c r="B12">
        <f>IFERROR(__xludf.DUMMYFUNCTION("""COMPUTED_VALUE"""),10)</f>
        <v>10</v>
      </c>
      <c r="C12" t="str">
        <f>IFERROR(__xludf.DUMMYFUNCTION("""COMPUTED_VALUE"""),"CEO/PGD")</f>
        <v>CEO/PGD</v>
      </c>
      <c r="D12" t="str">
        <f>IFERROR(__xludf.DUMMYFUNCTION("""COMPUTED_VALUE"""),"Hồng Trang")</f>
        <v>Hồng Trang</v>
      </c>
      <c r="E12" t="str">
        <f>IFERROR(__xludf.DUMMYFUNCTION("""COMPUTED_VALUE"""),"Thành công")</f>
        <v>Thành công</v>
      </c>
      <c r="F12" t="str">
        <f>IFERROR(__xludf.DUMMYFUNCTION("""COMPUTED_VALUE"""),"BOSCH EET")</f>
        <v>BOSCH EET</v>
      </c>
      <c r="G12" t="str">
        <f>IFERROR(__xludf.DUMMYFUNCTION("""COMPUTED_VALUE"""),"27-29/3")</f>
        <v>27-29/3</v>
      </c>
      <c r="H12" t="str">
        <f>IFERROR(__xludf.DUMMYFUNCTION("""COMPUTED_VALUE"""),"ĐÀ LẠT")</f>
        <v>ĐÀ LẠT</v>
      </c>
      <c r="I12">
        <f>IFERROR(__xludf.DUMMYFUNCTION("""COMPUTED_VALUE"""),120)</f>
        <v>120</v>
      </c>
      <c r="J12" t="str">
        <f>IFERROR(__xludf.DUMMYFUNCTION("""COMPUTED_VALUE"""),"Ms.Ngọc Ánh")</f>
        <v>Ms.Ngọc Ánh</v>
      </c>
      <c r="M12" s="1">
        <f>IFERROR(__xludf.DUMMYFUNCTION("""COMPUTED_VALUE"""),4400000)</f>
        <v>4400000</v>
      </c>
      <c r="N12" s="1">
        <f>IFERROR(__xludf.DUMMYFUNCTION("""COMPUTED_VALUE"""),528000000)</f>
        <v>528000000</v>
      </c>
      <c r="O12" t="str">
        <f>IFERROR(__xludf.DUMMYFUNCTION("""COMPUTED_VALUE"""),"Tháng 03")</f>
        <v>Tháng 03</v>
      </c>
    </row>
    <row r="13" ht="15" customHeight="1">
      <c r="A13">
        <v>10</v>
      </c>
      <c r="B13">
        <f>IFERROR(__xludf.DUMMYFUNCTION("""COMPUTED_VALUE"""),11)</f>
        <v>11</v>
      </c>
      <c r="C13" t="str">
        <f>IFERROR(__xludf.DUMMYFUNCTION("""COMPUTED_VALUE"""),"CEO/PGD")</f>
        <v>CEO/PGD</v>
      </c>
      <c r="D13" t="str">
        <f>IFERROR(__xludf.DUMMYFUNCTION("""COMPUTED_VALUE"""),"Hồng Trang")</f>
        <v>Hồng Trang</v>
      </c>
      <c r="E13" t="str">
        <f>IFERROR(__xludf.DUMMYFUNCTION("""COMPUTED_VALUE"""),"Thành công")</f>
        <v>Thành công</v>
      </c>
      <c r="F13" t="str">
        <f>IFERROR(__xludf.DUMMYFUNCTION("""COMPUTED_VALUE"""),"PHÒNG KHÁM Y VIỆT")</f>
        <v>PHÒNG KHÁM Y VIỆT</v>
      </c>
      <c r="G13" t="str">
        <f>IFERROR(__xludf.DUMMYFUNCTION("""COMPUTED_VALUE"""),"28-29/03")</f>
        <v>28-29/03</v>
      </c>
      <c r="H13" t="str">
        <f>IFERROR(__xludf.DUMMYFUNCTION("""COMPUTED_VALUE"""),"PHAN THIẾT")</f>
        <v>PHAN THIẾT</v>
      </c>
      <c r="I13">
        <f>IFERROR(__xludf.DUMMYFUNCTION("""COMPUTED_VALUE"""),135)</f>
        <v>135</v>
      </c>
      <c r="J13" t="str">
        <f>IFERROR(__xludf.DUMMYFUNCTION("""COMPUTED_VALUE"""),"Ms.Ngoan")</f>
        <v>Ms.Ngoan</v>
      </c>
      <c r="K13" t="str">
        <f>IFERROR(__xludf.DUMMYFUNCTION("""COMPUTED_VALUE"""),"0332939159")</f>
        <v>0332939159</v>
      </c>
      <c r="M13" s="1">
        <f>IFERROR(__xludf.DUMMYFUNCTION("""COMPUTED_VALUE"""),2350000)</f>
        <v>2350000</v>
      </c>
      <c r="N13" s="1">
        <f>IFERROR(__xludf.DUMMYFUNCTION("""COMPUTED_VALUE"""),317250000)</f>
        <v>317250000</v>
      </c>
      <c r="O13" t="str">
        <f>IFERROR(__xludf.DUMMYFUNCTION("""COMPUTED_VALUE"""),"Tháng 03")</f>
        <v>Tháng 03</v>
      </c>
    </row>
    <row r="14" ht="15" customHeight="1">
      <c r="A14">
        <v>11</v>
      </c>
      <c r="B14">
        <f>IFERROR(__xludf.DUMMYFUNCTION("""COMPUTED_VALUE"""),15)</f>
        <v>15</v>
      </c>
      <c r="C14" t="str">
        <f>IFERROR(__xludf.DUMMYFUNCTION("""COMPUTED_VALUE"""),"CEO/PGD")</f>
        <v>CEO/PGD</v>
      </c>
      <c r="D14" t="str">
        <f>IFERROR(__xludf.DUMMYFUNCTION("""COMPUTED_VALUE"""),"Hồng Trang")</f>
        <v>Hồng Trang</v>
      </c>
      <c r="E14" t="str">
        <f>IFERROR(__xludf.DUMMYFUNCTION("""COMPUTED_VALUE"""),"Thành công")</f>
        <v>Thành công</v>
      </c>
      <c r="F14" t="str">
        <f>IFERROR(__xludf.DUMMYFUNCTION("""COMPUTED_VALUE"""),"CG RECORD")</f>
        <v>CG RECORD</v>
      </c>
      <c r="G14" t="str">
        <f>IFERROR(__xludf.DUMMYFUNCTION("""COMPUTED_VALUE"""),"21/4-25/4")</f>
        <v>21/4-25/4</v>
      </c>
      <c r="H14" t="str">
        <f>IFERROR(__xludf.DUMMYFUNCTION("""COMPUTED_VALUE"""),"LỆ GIANG")</f>
        <v>LỆ GIANG</v>
      </c>
      <c r="I14">
        <f>IFERROR(__xludf.DUMMYFUNCTION("""COMPUTED_VALUE"""),20)</f>
        <v>20</v>
      </c>
      <c r="M14" s="1">
        <f>IFERROR(__xludf.DUMMYFUNCTION("""COMPUTED_VALUE"""),20000000)</f>
        <v>20000000</v>
      </c>
      <c r="N14" s="1">
        <f>IFERROR(__xludf.DUMMYFUNCTION("""COMPUTED_VALUE"""),400000000)</f>
        <v>400000000</v>
      </c>
      <c r="O14" t="str">
        <f>IFERROR(__xludf.DUMMYFUNCTION("""COMPUTED_VALUE"""),"Tháng 04")</f>
        <v>Tháng 04</v>
      </c>
    </row>
    <row r="15" ht="15" customHeight="1">
      <c r="A15">
        <v>12</v>
      </c>
      <c r="B15">
        <f>IFERROR(__xludf.DUMMYFUNCTION("""COMPUTED_VALUE"""),18)</f>
        <v>18</v>
      </c>
      <c r="C15" t="str">
        <f>IFERROR(__xludf.DUMMYFUNCTION("""COMPUTED_VALUE"""),"CEO/PGD")</f>
        <v>CEO/PGD</v>
      </c>
      <c r="D15" t="str">
        <f>IFERROR(__xludf.DUMMYFUNCTION("""COMPUTED_VALUE"""),"Vy Phan")</f>
        <v>Vy Phan</v>
      </c>
      <c r="E15" t="str">
        <f>IFERROR(__xludf.DUMMYFUNCTION("""COMPUTED_VALUE"""),"Thành công")</f>
        <v>Thành công</v>
      </c>
      <c r="F15" t="str">
        <f>IFERROR(__xludf.DUMMYFUNCTION("""COMPUTED_VALUE"""),"VIB BANK")</f>
        <v>VIB BANK</v>
      </c>
      <c r="G15" t="str">
        <f>IFERROR(__xludf.DUMMYFUNCTION("""COMPUTED_VALUE"""),"25/4 - 01/05")</f>
        <v>25/4 - 01/05</v>
      </c>
      <c r="H15" t="str">
        <f>IFERROR(__xludf.DUMMYFUNCTION("""COMPUTED_VALUE"""),"UK")</f>
        <v>UK</v>
      </c>
      <c r="I15">
        <f>IFERROR(__xludf.DUMMYFUNCTION("""COMPUTED_VALUE"""),7)</f>
        <v>7</v>
      </c>
      <c r="M15" s="1">
        <f>IFERROR(__xludf.DUMMYFUNCTION("""COMPUTED_VALUE"""),98000000)</f>
        <v>98000000</v>
      </c>
      <c r="N15" s="1">
        <f>IFERROR(__xludf.DUMMYFUNCTION("""COMPUTED_VALUE"""),686000000)</f>
        <v>686000000</v>
      </c>
      <c r="O15" t="str">
        <f>IFERROR(__xludf.DUMMYFUNCTION("""COMPUTED_VALUE"""),"Tháng 04")</f>
        <v>Tháng 04</v>
      </c>
    </row>
    <row r="16" ht="15" customHeight="1">
      <c r="A16">
        <v>13</v>
      </c>
      <c r="B16">
        <f>IFERROR(__xludf.DUMMYFUNCTION("""COMPUTED_VALUE"""),19)</f>
        <v>19</v>
      </c>
      <c r="C16" t="str">
        <f>IFERROR(__xludf.DUMMYFUNCTION("""COMPUTED_VALUE"""),"CEO/PGD")</f>
        <v>CEO/PGD</v>
      </c>
      <c r="D16" t="str">
        <f>IFERROR(__xludf.DUMMYFUNCTION("""COMPUTED_VALUE"""),"Hầu Hưng")</f>
        <v>Hầu Hưng</v>
      </c>
      <c r="E16" t="str">
        <f>IFERROR(__xludf.DUMMYFUNCTION("""COMPUTED_VALUE"""),"Thành công")</f>
        <v>Thành công</v>
      </c>
      <c r="F16" t="str">
        <f>IFERROR(__xludf.DUMMYFUNCTION("""COMPUTED_VALUE"""),"QBI")</f>
        <v>QBI</v>
      </c>
      <c r="G16" t="str">
        <f>IFERROR(__xludf.DUMMYFUNCTION("""COMPUTED_VALUE"""),"31/3-4/4")</f>
        <v>31/3-4/4</v>
      </c>
      <c r="H16" t="str">
        <f>IFERROR(__xludf.DUMMYFUNCTION("""COMPUTED_VALUE"""),"LỆ GIANG")</f>
        <v>LỆ GIANG</v>
      </c>
      <c r="I16">
        <f>IFERROR(__xludf.DUMMYFUNCTION("""COMPUTED_VALUE"""),20)</f>
        <v>20</v>
      </c>
      <c r="M16" s="1">
        <f>IFERROR(__xludf.DUMMYFUNCTION("""COMPUTED_VALUE"""),19000000)</f>
        <v>19000000</v>
      </c>
      <c r="N16" s="1">
        <f>IFERROR(__xludf.DUMMYFUNCTION("""COMPUTED_VALUE"""),380000000)</f>
        <v>380000000</v>
      </c>
      <c r="O16" t="str">
        <f>IFERROR(__xludf.DUMMYFUNCTION("""COMPUTED_VALUE"""),"Tháng 03")</f>
        <v>Tháng 03</v>
      </c>
    </row>
    <row r="17" ht="15" customHeight="1">
      <c r="A17">
        <v>14</v>
      </c>
      <c r="B17">
        <f>IFERROR(__xludf.DUMMYFUNCTION("""COMPUTED_VALUE"""),20)</f>
        <v>20</v>
      </c>
      <c r="C17" t="str">
        <f>IFERROR(__xludf.DUMMYFUNCTION("""COMPUTED_VALUE"""),"CEO/PGD")</f>
        <v>CEO/PGD</v>
      </c>
      <c r="D17" t="str">
        <f>IFERROR(__xludf.DUMMYFUNCTION("""COMPUTED_VALUE"""),"Hồng Trang")</f>
        <v>Hồng Trang</v>
      </c>
      <c r="E17" t="str">
        <f>IFERROR(__xludf.DUMMYFUNCTION("""COMPUTED_VALUE"""),"Thành công")</f>
        <v>Thành công</v>
      </c>
      <c r="F17" t="str">
        <f>IFERROR(__xludf.DUMMYFUNCTION("""COMPUTED_VALUE"""),"BOSCH EAE")</f>
        <v>BOSCH EAE</v>
      </c>
      <c r="G17" t="str">
        <f>IFERROR(__xludf.DUMMYFUNCTION("""COMPUTED_VALUE"""),"15-17/5")</f>
        <v>15-17/5</v>
      </c>
      <c r="H17" t="str">
        <f>IFERROR(__xludf.DUMMYFUNCTION("""COMPUTED_VALUE"""),"NHA TRANG")</f>
        <v>NHA TRANG</v>
      </c>
      <c r="I17">
        <f>IFERROR(__xludf.DUMMYFUNCTION("""COMPUTED_VALUE"""),100)</f>
        <v>100</v>
      </c>
      <c r="M17" s="1">
        <f>IFERROR(__xludf.DUMMYFUNCTION("""COMPUTED_VALUE"""),4800000)</f>
        <v>4800000</v>
      </c>
      <c r="N17" s="1">
        <f>IFERROR(__xludf.DUMMYFUNCTION("""COMPUTED_VALUE"""),480000000)</f>
        <v>480000000</v>
      </c>
      <c r="O17" t="str">
        <f>IFERROR(__xludf.DUMMYFUNCTION("""COMPUTED_VALUE"""),"Tháng 05")</f>
        <v>Tháng 05</v>
      </c>
    </row>
    <row r="18" ht="15" customHeight="1">
      <c r="A18">
        <v>15</v>
      </c>
      <c r="B18">
        <f>IFERROR(__xludf.DUMMYFUNCTION("""COMPUTED_VALUE"""),25)</f>
        <v>25</v>
      </c>
      <c r="C18" t="str">
        <f>IFERROR(__xludf.DUMMYFUNCTION("""COMPUTED_VALUE"""),"CEO/PGD")</f>
        <v>CEO/PGD</v>
      </c>
      <c r="D18" t="str">
        <f>IFERROR(__xludf.DUMMYFUNCTION("""COMPUTED_VALUE"""),"Vy Phan")</f>
        <v>Vy Phan</v>
      </c>
      <c r="E18" t="str">
        <f>IFERROR(__xludf.DUMMYFUNCTION("""COMPUTED_VALUE"""),"Thành công")</f>
        <v>Thành công</v>
      </c>
      <c r="F18" t="str">
        <f>IFERROR(__xludf.DUMMYFUNCTION("""COMPUTED_VALUE"""),"VIB BANK")</f>
        <v>VIB BANK</v>
      </c>
      <c r="G18" t="str">
        <f>IFERROR(__xludf.DUMMYFUNCTION("""COMPUTED_VALUE"""),"1-4/9")</f>
        <v>1-4/9</v>
      </c>
      <c r="H18" t="str">
        <f>IFERROR(__xludf.DUMMYFUNCTION("""COMPUTED_VALUE"""),"HÀN QUỐC")</f>
        <v>HÀN QUỐC</v>
      </c>
      <c r="I18">
        <f>IFERROR(__xludf.DUMMYFUNCTION("""COMPUTED_VALUE"""),7)</f>
        <v>7</v>
      </c>
      <c r="M18" s="1">
        <f>IFERROR(__xludf.DUMMYFUNCTION("""COMPUTED_VALUE"""),15000000)</f>
        <v>15000000</v>
      </c>
      <c r="N18" s="1">
        <f>IFERROR(__xludf.DUMMYFUNCTION("""COMPUTED_VALUE"""),105000000)</f>
        <v>105000000</v>
      </c>
      <c r="O18" t="str">
        <f>IFERROR(__xludf.DUMMYFUNCTION("""COMPUTED_VALUE"""),"Tháng 09")</f>
        <v>Tháng 09</v>
      </c>
    </row>
    <row r="19" ht="15" customHeight="1">
      <c r="A19">
        <v>16</v>
      </c>
      <c r="B19">
        <f>IFERROR(__xludf.DUMMYFUNCTION("""COMPUTED_VALUE"""),34)</f>
        <v>34</v>
      </c>
      <c r="C19" t="str">
        <f>IFERROR(__xludf.DUMMYFUNCTION("""COMPUTED_VALUE"""),"CEO/PGD")</f>
        <v>CEO/PGD</v>
      </c>
      <c r="D19" t="str">
        <f>IFERROR(__xludf.DUMMYFUNCTION("""COMPUTED_VALUE"""),"Vy Phan")</f>
        <v>Vy Phan</v>
      </c>
      <c r="E19" t="str">
        <f>IFERROR(__xludf.DUMMYFUNCTION("""COMPUTED_VALUE"""),"Thành công")</f>
        <v>Thành công</v>
      </c>
      <c r="F19" t="str">
        <f>IFERROR(__xludf.DUMMYFUNCTION("""COMPUTED_VALUE"""),"Dược Phẩm Nhất Nhất")</f>
        <v>Dược Phẩm Nhất Nhất</v>
      </c>
      <c r="G19" t="str">
        <f>IFERROR(__xludf.DUMMYFUNCTION("""COMPUTED_VALUE"""),"20-24/05")</f>
        <v>20-24/05</v>
      </c>
      <c r="H19" t="str">
        <f>IFERROR(__xludf.DUMMYFUNCTION("""COMPUTED_VALUE"""),"Cam Ranh")</f>
        <v>Cam Ranh</v>
      </c>
      <c r="I19">
        <f>IFERROR(__xludf.DUMMYFUNCTION("""COMPUTED_VALUE"""),300)</f>
        <v>300</v>
      </c>
      <c r="M19" s="1">
        <f>IFERROR(__xludf.DUMMYFUNCTION("""COMPUTED_VALUE"""),8000000)</f>
        <v>8000000</v>
      </c>
      <c r="N19" s="1">
        <f>IFERROR(__xludf.DUMMYFUNCTION("""COMPUTED_VALUE"""),2400000000)</f>
        <v>2400000000</v>
      </c>
      <c r="O19" t="str">
        <f>IFERROR(__xludf.DUMMYFUNCTION("""COMPUTED_VALUE"""),"Tháng 05")</f>
        <v>Tháng 05</v>
      </c>
    </row>
    <row r="20" ht="15" customHeight="1">
      <c r="A20">
        <v>17</v>
      </c>
      <c r="B20">
        <f>IFERROR(__xludf.DUMMYFUNCTION("""COMPUTED_VALUE"""),35)</f>
        <v>35</v>
      </c>
      <c r="C20" t="str">
        <f>IFERROR(__xludf.DUMMYFUNCTION("""COMPUTED_VALUE"""),"CEO/PGD")</f>
        <v>CEO/PGD</v>
      </c>
      <c r="D20" t="str">
        <f>IFERROR(__xludf.DUMMYFUNCTION("""COMPUTED_VALUE"""),"Hoàng Hoa")</f>
        <v>Hoàng Hoa</v>
      </c>
      <c r="E20" t="str">
        <f>IFERROR(__xludf.DUMMYFUNCTION("""COMPUTED_VALUE"""),"Thành công")</f>
        <v>Thành công</v>
      </c>
      <c r="F20" t="str">
        <f>IFERROR(__xludf.DUMMYFUNCTION("""COMPUTED_VALUE"""),"Nhóm bạn chị Cellin")</f>
        <v>Nhóm bạn chị Cellin</v>
      </c>
      <c r="G20" t="str">
        <f>IFERROR(__xludf.DUMMYFUNCTION("""COMPUTED_VALUE"""),"25-29.04")</f>
        <v>25-29.04</v>
      </c>
      <c r="H20" t="str">
        <f>IFERROR(__xludf.DUMMYFUNCTION("""COMPUTED_VALUE"""),"TRUNG QUỐC")</f>
        <v>TRUNG QUỐC</v>
      </c>
      <c r="I20">
        <f>IFERROR(__xludf.DUMMYFUNCTION("""COMPUTED_VALUE"""),12)</f>
        <v>12</v>
      </c>
      <c r="M20" s="1">
        <f>IFERROR(__xludf.DUMMYFUNCTION("""COMPUTED_VALUE"""),31500000)</f>
        <v>31500000</v>
      </c>
      <c r="N20" s="1">
        <f>IFERROR(__xludf.DUMMYFUNCTION("""COMPUTED_VALUE"""),378000000)</f>
        <v>378000000</v>
      </c>
      <c r="O20" t="str">
        <f>IFERROR(__xludf.DUMMYFUNCTION("""COMPUTED_VALUE"""),"Tháng 04")</f>
        <v>Tháng 04</v>
      </c>
    </row>
    <row r="21" ht="15" customHeight="1">
      <c r="A21">
        <v>18</v>
      </c>
      <c r="B21">
        <f>IFERROR(__xludf.DUMMYFUNCTION("""COMPUTED_VALUE"""),38)</f>
        <v>38</v>
      </c>
      <c r="C21" t="str">
        <f>IFERROR(__xludf.DUMMYFUNCTION("""COMPUTED_VALUE"""),"Cá nhân")</f>
        <v>Cá nhân</v>
      </c>
      <c r="D21" t="str">
        <f>IFERROR(__xludf.DUMMYFUNCTION("""COMPUTED_VALUE"""),"Thị Trang")</f>
        <v>Thị Trang</v>
      </c>
      <c r="E21" t="str">
        <f>IFERROR(__xludf.DUMMYFUNCTION("""COMPUTED_VALUE"""),"Thành công")</f>
        <v>Thành công</v>
      </c>
      <c r="F21" t="str">
        <f>IFERROR(__xludf.DUMMYFUNCTION("""COMPUTED_VALUE"""),"CTY Hưng Phát")</f>
        <v>CTY Hưng Phát</v>
      </c>
      <c r="G21" t="str">
        <f>IFERROR(__xludf.DUMMYFUNCTION("""COMPUTED_VALUE"""),"09-11/05")</f>
        <v>09-11/05</v>
      </c>
      <c r="H21" t="str">
        <f>IFERROR(__xludf.DUMMYFUNCTION("""COMPUTED_VALUE"""),"PHÚ QUỐC")</f>
        <v>PHÚ QUỐC</v>
      </c>
      <c r="I21">
        <f>IFERROR(__xludf.DUMMYFUNCTION("""COMPUTED_VALUE"""),1)</f>
        <v>1</v>
      </c>
      <c r="M21" s="1">
        <f>IFERROR(__xludf.DUMMYFUNCTION("""COMPUTED_VALUE"""),131740000)</f>
        <v>131740000</v>
      </c>
      <c r="N21" s="1">
        <f>IFERROR(__xludf.DUMMYFUNCTION("""COMPUTED_VALUE"""),131740000)</f>
        <v>131740000</v>
      </c>
      <c r="O21" t="str">
        <f>IFERROR(__xludf.DUMMYFUNCTION("""COMPUTED_VALUE"""),"Tháng 05")</f>
        <v>Tháng 05</v>
      </c>
    </row>
    <row r="22" ht="15" customHeight="1">
      <c r="A22">
        <v>19</v>
      </c>
      <c r="B22">
        <f>IFERROR(__xludf.DUMMYFUNCTION("""COMPUTED_VALUE"""),43)</f>
        <v>43</v>
      </c>
      <c r="C22" t="str">
        <f>IFERROR(__xludf.DUMMYFUNCTION("""COMPUTED_VALUE"""),"CEO/PGD")</f>
        <v>CEO/PGD</v>
      </c>
      <c r="D22" t="str">
        <f>IFERROR(__xludf.DUMMYFUNCTION("""COMPUTED_VALUE"""),"Hoàng Hoa")</f>
        <v>Hoàng Hoa</v>
      </c>
      <c r="E22" t="str">
        <f>IFERROR(__xludf.DUMMYFUNCTION("""COMPUTED_VALUE"""),"Thành công")</f>
        <v>Thành công</v>
      </c>
      <c r="F22" t="str">
        <f>IFERROR(__xludf.DUMMYFUNCTION("""COMPUTED_VALUE"""),"Nhóm bạn anh Thái Bình")</f>
        <v>Nhóm bạn anh Thái Bình</v>
      </c>
      <c r="G22" t="str">
        <f>IFERROR(__xludf.DUMMYFUNCTION("""COMPUTED_VALUE"""),"26.04-03.05")</f>
        <v>26.04-03.05</v>
      </c>
      <c r="H22" t="str">
        <f>IFERROR(__xludf.DUMMYFUNCTION("""COMPUTED_VALUE"""),"Trung Quốc")</f>
        <v>Trung Quốc</v>
      </c>
      <c r="I22">
        <f>IFERROR(__xludf.DUMMYFUNCTION("""COMPUTED_VALUE"""),10)</f>
        <v>10</v>
      </c>
      <c r="M22" s="1">
        <f>IFERROR(__xludf.DUMMYFUNCTION("""COMPUTED_VALUE"""),43600000)</f>
        <v>43600000</v>
      </c>
      <c r="N22" s="1">
        <f>IFERROR(__xludf.DUMMYFUNCTION("""COMPUTED_VALUE"""),436000000)</f>
        <v>436000000</v>
      </c>
      <c r="O22" t="str">
        <f>IFERROR(__xludf.DUMMYFUNCTION("""COMPUTED_VALUE"""),"Tháng 04")</f>
        <v>Tháng 04</v>
      </c>
    </row>
    <row r="23" ht="15" customHeight="1">
      <c r="A23">
        <v>20</v>
      </c>
    </row>
    <row r="24" ht="15" customHeight="1">
      <c r="A24">
        <v>21</v>
      </c>
    </row>
    <row r="25" ht="15" customHeight="1">
      <c r="A25">
        <v>22</v>
      </c>
    </row>
    <row r="26" ht="15" customHeight="1">
      <c r="A26">
        <v>23</v>
      </c>
    </row>
    <row r="27" ht="15" customHeight="1">
      <c r="A27">
        <v>24</v>
      </c>
    </row>
    <row r="28" ht="15" customHeight="1">
      <c r="A28">
        <v>25</v>
      </c>
    </row>
    <row r="29" ht="15" customHeight="1">
      <c r="A29">
        <v>26</v>
      </c>
    </row>
    <row r="30" ht="15" customHeight="1">
      <c r="A30">
        <v>27</v>
      </c>
    </row>
    <row r="31" ht="15" customHeight="1">
      <c r="A31">
        <v>28</v>
      </c>
    </row>
    <row r="32" ht="15" customHeight="1">
      <c r="A32">
        <v>29</v>
      </c>
    </row>
    <row r="33" ht="15" customHeight="1">
      <c r="A33">
        <v>30</v>
      </c>
    </row>
    <row r="34" ht="15" customHeight="1">
      <c r="A34">
        <v>31</v>
      </c>
    </row>
    <row r="35" ht="15" customHeight="1">
      <c r="A35">
        <v>32</v>
      </c>
    </row>
    <row r="36" ht="15" customHeight="1">
      <c r="A36">
        <v>33</v>
      </c>
    </row>
    <row r="37" ht="15" customHeight="1">
      <c r="A37">
        <v>34</v>
      </c>
    </row>
    <row r="38" ht="15" customHeight="1">
      <c r="A38">
        <v>35</v>
      </c>
    </row>
    <row r="39" ht="15" customHeight="1">
      <c r="A39">
        <v>36</v>
      </c>
    </row>
    <row r="40" ht="15" customHeight="1">
      <c r="A40">
        <v>37</v>
      </c>
    </row>
    <row r="41" ht="15" customHeight="1">
      <c r="A41">
        <v>38</v>
      </c>
    </row>
    <row r="42" ht="15" customHeight="1">
      <c r="A42">
        <v>39</v>
      </c>
    </row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ht="13" customHeight="1"/>
    <row r="434" ht="13" customHeight="1"/>
    <row r="435" ht="13" customHeight="1"/>
    <row r="436" ht="13" customHeight="1"/>
    <row r="437" ht="13" customHeight="1"/>
    <row r="438" ht="13" customHeight="1"/>
    <row r="439" ht="13" customHeight="1"/>
    <row r="440" ht="13" customHeight="1"/>
    <row r="441" ht="13" customHeight="1"/>
    <row r="442" ht="13" customHeight="1"/>
    <row r="443" ht="13" customHeight="1"/>
    <row r="444" ht="13" customHeight="1"/>
    <row r="445" ht="13" customHeight="1"/>
    <row r="446" ht="13" customHeight="1"/>
    <row r="447" ht="13" customHeight="1"/>
    <row r="448" ht="13" customHeight="1"/>
    <row r="449" ht="13" customHeight="1"/>
    <row r="450" ht="13" customHeight="1"/>
    <row r="451" ht="13" customHeight="1"/>
    <row r="452" ht="13" customHeight="1"/>
    <row r="453" ht="13" customHeight="1"/>
    <row r="454" ht="13" customHeight="1"/>
    <row r="455" ht="13" customHeight="1"/>
    <row r="456" ht="13" customHeight="1"/>
    <row r="457" ht="13" customHeight="1"/>
    <row r="458" ht="13" customHeight="1"/>
    <row r="459" ht="13" customHeight="1"/>
    <row r="460" ht="13" customHeight="1"/>
    <row r="461" ht="13" customHeight="1"/>
    <row r="462" ht="13" customHeight="1"/>
    <row r="463" ht="13" customHeight="1"/>
    <row r="464" ht="13" customHeight="1"/>
    <row r="465" ht="13" customHeight="1"/>
    <row r="466" ht="13" customHeight="1"/>
    <row r="467" ht="13" customHeight="1"/>
    <row r="468" ht="13" customHeight="1"/>
    <row r="469" ht="13" customHeight="1"/>
    <row r="470" ht="13" customHeight="1"/>
    <row r="471" ht="13" customHeight="1"/>
    <row r="472" ht="13" customHeight="1"/>
    <row r="473" ht="13" customHeight="1"/>
    <row r="474" ht="13" customHeight="1"/>
    <row r="475" ht="13" customHeight="1"/>
    <row r="476" ht="13" customHeight="1"/>
    <row r="477" ht="13" customHeight="1"/>
    <row r="478" ht="13" customHeight="1"/>
    <row r="479" ht="13" customHeight="1"/>
    <row r="480" ht="13" customHeight="1"/>
    <row r="481" ht="13" customHeight="1"/>
    <row r="482" ht="13" customHeight="1"/>
    <row r="483" ht="13" customHeight="1"/>
    <row r="484" ht="13" customHeight="1"/>
    <row r="485" ht="13" customHeight="1"/>
    <row r="486" ht="13" customHeight="1"/>
    <row r="487" ht="13" customHeight="1"/>
    <row r="488" ht="13" customHeight="1"/>
    <row r="489" ht="13" customHeight="1"/>
    <row r="490" ht="13" customHeight="1"/>
    <row r="491" ht="13" customHeight="1"/>
    <row r="492" ht="13" customHeight="1"/>
    <row r="493" ht="13" customHeight="1"/>
    <row r="494" ht="13" customHeight="1"/>
    <row r="495" ht="13" customHeight="1"/>
    <row r="496" ht="13" customHeight="1"/>
    <row r="497" ht="13" customHeight="1"/>
    <row r="498" ht="13" customHeight="1"/>
    <row r="499" ht="13" customHeight="1"/>
    <row r="500" ht="13" customHeight="1"/>
    <row r="501" ht="13" customHeight="1"/>
    <row r="502" ht="13" customHeight="1"/>
    <row r="503" ht="13" customHeight="1"/>
    <row r="504" ht="13" customHeight="1"/>
    <row r="505" ht="13" customHeight="1"/>
    <row r="506" ht="13" customHeight="1"/>
    <row r="507" ht="13" customHeight="1"/>
    <row r="508" ht="13" customHeight="1"/>
    <row r="509" ht="13" customHeight="1"/>
    <row r="510" ht="13" customHeight="1"/>
    <row r="511" ht="13" customHeight="1"/>
    <row r="512" ht="13" customHeight="1"/>
    <row r="513" ht="13" customHeight="1"/>
    <row r="514" ht="13" customHeight="1"/>
    <row r="515" ht="13" customHeight="1"/>
    <row r="516" ht="13" customHeight="1"/>
    <row r="517" ht="13" customHeight="1"/>
    <row r="518" ht="13" customHeight="1"/>
    <row r="519" ht="13" customHeight="1"/>
    <row r="520" ht="13" customHeight="1"/>
    <row r="521" ht="13" customHeight="1"/>
    <row r="522" ht="13" customHeight="1"/>
    <row r="523" ht="13" customHeight="1"/>
    <row r="524" ht="13" customHeight="1"/>
    <row r="525" ht="13" customHeight="1"/>
    <row r="526" ht="13" customHeight="1"/>
    <row r="527" ht="13" customHeight="1"/>
    <row r="528" ht="13" customHeight="1"/>
    <row r="529" ht="13" customHeight="1"/>
    <row r="530" ht="13" customHeight="1"/>
    <row r="531" ht="13" customHeight="1"/>
    <row r="532" ht="13" customHeight="1"/>
    <row r="533" ht="13" customHeight="1"/>
    <row r="534" ht="13" customHeight="1"/>
    <row r="535" ht="13" customHeight="1"/>
    <row r="536" ht="13" customHeight="1"/>
    <row r="537" ht="13" customHeight="1"/>
    <row r="538" ht="13" customHeight="1"/>
    <row r="539" ht="13" customHeight="1"/>
    <row r="540" ht="13" customHeight="1"/>
    <row r="541" ht="13" customHeight="1"/>
    <row r="542" ht="13" customHeight="1"/>
    <row r="543" ht="13" customHeight="1"/>
    <row r="544" ht="13" customHeight="1"/>
    <row r="545" ht="13" customHeight="1"/>
    <row r="546" ht="13" customHeight="1"/>
    <row r="547" ht="13" customHeight="1"/>
    <row r="548" ht="13" customHeight="1"/>
    <row r="549" ht="13" customHeight="1"/>
    <row r="550" ht="13" customHeight="1"/>
    <row r="551" ht="13" customHeight="1"/>
    <row r="552" ht="13" customHeight="1"/>
    <row r="553" ht="13" customHeight="1"/>
    <row r="554" ht="13" customHeight="1"/>
    <row r="555" ht="13" customHeight="1"/>
    <row r="556" ht="13" customHeight="1"/>
    <row r="557" ht="13" customHeight="1"/>
    <row r="558" ht="13" customHeight="1"/>
    <row r="559" ht="13" customHeight="1"/>
    <row r="560" ht="13" customHeight="1"/>
    <row r="561" ht="13" customHeight="1"/>
    <row r="562" ht="13" customHeight="1"/>
    <row r="563" ht="13" customHeight="1"/>
    <row r="564" ht="13" customHeight="1"/>
    <row r="565" ht="13" customHeight="1"/>
    <row r="566" ht="13" customHeight="1"/>
    <row r="567" ht="13" customHeight="1"/>
    <row r="568" ht="13" customHeight="1"/>
    <row r="569" ht="13" customHeight="1"/>
    <row r="570" ht="13" customHeight="1"/>
    <row r="571" ht="13" customHeight="1"/>
    <row r="572" ht="13" customHeight="1"/>
    <row r="573" ht="13" customHeight="1"/>
    <row r="574" ht="13" customHeight="1"/>
    <row r="575" ht="13" customHeight="1"/>
    <row r="576" ht="13" customHeight="1"/>
    <row r="577" ht="13" customHeight="1"/>
    <row r="578" ht="13" customHeight="1"/>
    <row r="579" ht="13" customHeight="1"/>
    <row r="580" ht="13" customHeight="1"/>
    <row r="581" ht="13" customHeight="1"/>
    <row r="582" ht="13" customHeight="1"/>
    <row r="583" ht="13" customHeight="1"/>
    <row r="584" ht="13" customHeight="1"/>
    <row r="585" ht="13" customHeight="1"/>
    <row r="586" ht="13" customHeight="1"/>
    <row r="587" ht="13" customHeight="1"/>
    <row r="588" ht="13" customHeight="1"/>
    <row r="589" ht="13" customHeight="1"/>
    <row r="590" ht="13" customHeight="1"/>
    <row r="591" ht="13" customHeight="1"/>
    <row r="592" ht="13" customHeight="1"/>
    <row r="593" ht="13" customHeight="1"/>
    <row r="594" ht="13" customHeight="1"/>
    <row r="595" ht="13" customHeight="1"/>
    <row r="596" ht="13" customHeight="1"/>
    <row r="597" ht="13" customHeight="1"/>
    <row r="598" ht="13" customHeight="1"/>
    <row r="599" ht="13" customHeight="1"/>
    <row r="600" ht="13" customHeight="1"/>
    <row r="601" ht="13" customHeight="1"/>
    <row r="602" ht="13" customHeight="1"/>
    <row r="603" ht="13" customHeight="1"/>
    <row r="604" ht="13" customHeight="1"/>
    <row r="605" ht="13" customHeight="1"/>
    <row r="606" ht="13" customHeight="1"/>
    <row r="607" ht="13" customHeight="1"/>
    <row r="608" ht="13" customHeight="1"/>
    <row r="609" ht="13" customHeight="1"/>
    <row r="610" ht="13" customHeight="1"/>
    <row r="611" ht="13" customHeight="1"/>
    <row r="612" ht="13" customHeight="1"/>
    <row r="613" ht="13" customHeight="1"/>
    <row r="614" ht="13" customHeight="1"/>
    <row r="615" ht="13" customHeight="1"/>
    <row r="616" ht="13" customHeight="1"/>
    <row r="617" ht="13" customHeight="1"/>
    <row r="618" ht="13" customHeight="1"/>
    <row r="619" ht="13" customHeight="1"/>
    <row r="620" ht="13" customHeight="1"/>
    <row r="621" ht="13" customHeight="1"/>
    <row r="622" ht="13" customHeight="1"/>
    <row r="623" ht="13" customHeight="1"/>
    <row r="624" ht="13" customHeight="1"/>
    <row r="625" ht="13" customHeight="1"/>
    <row r="626" ht="13" customHeight="1"/>
    <row r="627" ht="13" customHeight="1"/>
    <row r="628" ht="13" customHeight="1"/>
    <row r="629" ht="13" customHeight="1"/>
    <row r="630" ht="13" customHeight="1"/>
    <row r="631" ht="13" customHeight="1"/>
    <row r="632" ht="13" customHeight="1"/>
    <row r="633" ht="13" customHeight="1"/>
    <row r="634" ht="13" customHeight="1"/>
    <row r="635" ht="13" customHeight="1"/>
    <row r="636" ht="13" customHeight="1"/>
    <row r="637" ht="13" customHeight="1"/>
    <row r="638" ht="13" customHeight="1"/>
    <row r="639" ht="13" customHeight="1"/>
    <row r="640" ht="13" customHeight="1"/>
    <row r="641" ht="13" customHeight="1"/>
    <row r="642" ht="13" customHeight="1"/>
    <row r="643" ht="13" customHeight="1"/>
    <row r="644" ht="13" customHeight="1"/>
    <row r="645" ht="13" customHeight="1"/>
    <row r="646" ht="13" customHeight="1"/>
    <row r="647" ht="13" customHeight="1"/>
    <row r="648" ht="13" customHeight="1"/>
    <row r="649" ht="13" customHeight="1"/>
    <row r="650" ht="13" customHeight="1"/>
    <row r="651" ht="13" customHeight="1"/>
    <row r="652" ht="13" customHeight="1"/>
    <row r="653" ht="13" customHeight="1"/>
    <row r="654" ht="13" customHeight="1"/>
    <row r="655" ht="13" customHeight="1"/>
    <row r="656" ht="13" customHeight="1"/>
    <row r="657" ht="13" customHeight="1"/>
    <row r="658" ht="13" customHeight="1"/>
    <row r="659" ht="13" customHeight="1"/>
    <row r="660" ht="13" customHeight="1"/>
    <row r="661" ht="13" customHeight="1"/>
    <row r="662" ht="13" customHeight="1"/>
    <row r="663" ht="13" customHeight="1"/>
    <row r="664" ht="13" customHeight="1"/>
    <row r="665" ht="13" customHeight="1"/>
    <row r="666" ht="13" customHeight="1"/>
    <row r="667" ht="13" customHeight="1"/>
    <row r="668" ht="13" customHeight="1"/>
    <row r="669" ht="13" customHeight="1"/>
    <row r="670" ht="13" customHeight="1"/>
    <row r="671" ht="13" customHeight="1"/>
    <row r="672" ht="13" customHeight="1"/>
    <row r="673" ht="13" customHeight="1"/>
    <row r="674" ht="13" customHeight="1"/>
    <row r="675" ht="13" customHeight="1"/>
    <row r="676" ht="13" customHeight="1"/>
    <row r="677" ht="13" customHeight="1"/>
    <row r="678" ht="13" customHeight="1"/>
    <row r="679" ht="13" customHeight="1"/>
    <row r="680" ht="13" customHeight="1"/>
    <row r="681" ht="13" customHeight="1"/>
    <row r="682" ht="13" customHeight="1"/>
    <row r="683" ht="13" customHeight="1"/>
    <row r="684" ht="13" customHeight="1"/>
    <row r="685" ht="13" customHeight="1"/>
    <row r="686" ht="13" customHeight="1"/>
    <row r="687" ht="13" customHeight="1"/>
    <row r="688" ht="13" customHeight="1"/>
    <row r="689" ht="13" customHeight="1"/>
    <row r="690" ht="13" customHeight="1"/>
    <row r="691" ht="13" customHeight="1"/>
    <row r="692" ht="13" customHeight="1"/>
    <row r="693" ht="13" customHeight="1"/>
    <row r="694" ht="13" customHeight="1"/>
    <row r="695" ht="13" customHeight="1"/>
    <row r="696" ht="13" customHeight="1"/>
    <row r="697" ht="13" customHeight="1"/>
    <row r="698" ht="13" customHeight="1"/>
    <row r="699" ht="13" customHeight="1"/>
    <row r="700" ht="13" customHeight="1"/>
    <row r="701" ht="13" customHeight="1"/>
    <row r="702" ht="13" customHeight="1"/>
    <row r="703" ht="13" customHeight="1"/>
    <row r="704" ht="13" customHeight="1"/>
    <row r="705" ht="13" customHeight="1"/>
    <row r="706" ht="13" customHeight="1"/>
    <row r="707" ht="13" customHeight="1"/>
    <row r="708" ht="13" customHeight="1"/>
    <row r="709" ht="13" customHeight="1"/>
    <row r="710" ht="13" customHeight="1"/>
    <row r="711" ht="13" customHeight="1"/>
    <row r="712" ht="13" customHeight="1"/>
    <row r="713" ht="13" customHeight="1"/>
    <row r="714" ht="13" customHeight="1"/>
    <row r="715" ht="13" customHeight="1"/>
    <row r="716" ht="13" customHeight="1"/>
    <row r="717" ht="13" customHeight="1"/>
    <row r="718" ht="13" customHeight="1"/>
    <row r="719" ht="13" customHeight="1"/>
    <row r="720" ht="13" customHeight="1"/>
    <row r="721" ht="13" customHeight="1"/>
    <row r="722" ht="13" customHeight="1"/>
    <row r="723" ht="13" customHeight="1"/>
    <row r="724" ht="13" customHeight="1"/>
    <row r="725" ht="13" customHeight="1"/>
    <row r="726" ht="13" customHeight="1"/>
    <row r="727" ht="13" customHeight="1"/>
    <row r="728" ht="13" customHeight="1"/>
    <row r="729" ht="13" customHeight="1"/>
    <row r="730" ht="13" customHeight="1"/>
    <row r="731" ht="13" customHeight="1"/>
    <row r="732" ht="13" customHeight="1"/>
    <row r="733" ht="13" customHeight="1"/>
    <row r="734" ht="13" customHeight="1"/>
    <row r="735" ht="13" customHeight="1"/>
    <row r="736" ht="13" customHeight="1"/>
    <row r="737" ht="13" customHeight="1"/>
    <row r="738" ht="13" customHeight="1"/>
    <row r="739" ht="13" customHeight="1"/>
    <row r="740" ht="13" customHeight="1"/>
    <row r="741" ht="13" customHeight="1"/>
    <row r="742" ht="13" customHeight="1"/>
    <row r="743" ht="13" customHeight="1"/>
    <row r="744" ht="13" customHeight="1"/>
    <row r="745" ht="13" customHeight="1"/>
    <row r="746" ht="13" customHeight="1"/>
    <row r="747" ht="13" customHeight="1"/>
    <row r="748" ht="13" customHeight="1"/>
    <row r="749" ht="13" customHeight="1"/>
    <row r="750" ht="13" customHeight="1"/>
    <row r="751" ht="13" customHeight="1"/>
    <row r="752" ht="13" customHeight="1"/>
    <row r="753" ht="13" customHeight="1"/>
    <row r="754" ht="13" customHeight="1"/>
    <row r="755" ht="13" customHeight="1"/>
    <row r="756" ht="13" customHeight="1"/>
    <row r="757" ht="13" customHeight="1"/>
    <row r="758" ht="13" customHeight="1"/>
    <row r="759" ht="13" customHeight="1"/>
    <row r="760" ht="13" customHeight="1"/>
    <row r="761" ht="13" customHeight="1"/>
    <row r="762" ht="13" customHeight="1"/>
    <row r="763" ht="13" customHeight="1"/>
    <row r="764" ht="13" customHeight="1"/>
    <row r="765" ht="13" customHeight="1"/>
    <row r="766" ht="13" customHeight="1"/>
    <row r="767" ht="13" customHeight="1"/>
    <row r="768" ht="13" customHeight="1"/>
    <row r="769" ht="13" customHeight="1"/>
    <row r="770" ht="13" customHeight="1"/>
    <row r="771" ht="13" customHeight="1"/>
    <row r="772" ht="13" customHeight="1"/>
    <row r="773" ht="13" customHeight="1"/>
    <row r="774" ht="13" customHeight="1"/>
    <row r="775" ht="13" customHeight="1"/>
    <row r="776" ht="13" customHeight="1"/>
    <row r="777" ht="13" customHeight="1"/>
    <row r="778" ht="13" customHeight="1"/>
    <row r="779" ht="13" customHeight="1"/>
    <row r="780" ht="13" customHeight="1"/>
    <row r="781" ht="13" customHeight="1"/>
    <row r="782" ht="13" customHeight="1"/>
    <row r="783" ht="13" customHeight="1"/>
    <row r="784" ht="13" customHeight="1"/>
    <row r="785" ht="13" customHeight="1"/>
    <row r="786" ht="13" customHeight="1"/>
    <row r="787" ht="13" customHeight="1"/>
    <row r="788" ht="13" customHeight="1"/>
    <row r="789" ht="13" customHeight="1"/>
    <row r="790" ht="13" customHeight="1"/>
    <row r="791" ht="13" customHeight="1"/>
    <row r="792" ht="13" customHeight="1"/>
    <row r="793" ht="13" customHeight="1"/>
    <row r="794" ht="13" customHeight="1"/>
    <row r="795" ht="13" customHeight="1"/>
    <row r="796" ht="13" customHeight="1"/>
    <row r="797" ht="13" customHeight="1"/>
    <row r="798" ht="13" customHeight="1"/>
    <row r="799" ht="13" customHeight="1"/>
    <row r="800" ht="13" customHeight="1"/>
    <row r="801" ht="13" customHeight="1"/>
    <row r="802" ht="13" customHeight="1"/>
    <row r="803" ht="13" customHeight="1"/>
    <row r="804" ht="13" customHeight="1"/>
    <row r="805" ht="13" customHeight="1"/>
    <row r="806" ht="13" customHeight="1"/>
    <row r="807" ht="13" customHeight="1"/>
    <row r="808" ht="13" customHeight="1"/>
    <row r="809" ht="13" customHeight="1"/>
    <row r="810" ht="13" customHeight="1"/>
    <row r="811" ht="13" customHeight="1"/>
    <row r="812" ht="13" customHeight="1"/>
    <row r="813" ht="13" customHeight="1"/>
    <row r="814" ht="13" customHeight="1"/>
    <row r="815" ht="13" customHeight="1"/>
    <row r="816" ht="13" customHeight="1"/>
    <row r="817" ht="13" customHeight="1"/>
    <row r="818" ht="13" customHeight="1"/>
    <row r="819" ht="13" customHeight="1"/>
    <row r="820" ht="13" customHeight="1"/>
    <row r="821" ht="13" customHeight="1"/>
    <row r="822" ht="13" customHeight="1"/>
    <row r="823" ht="13" customHeight="1"/>
    <row r="824" ht="13" customHeight="1"/>
    <row r="825" ht="13" customHeight="1"/>
    <row r="826" ht="13" customHeight="1"/>
    <row r="827" ht="13" customHeight="1"/>
    <row r="828" ht="13" customHeight="1"/>
    <row r="829" ht="13" customHeight="1"/>
    <row r="830" ht="13" customHeight="1"/>
    <row r="831" ht="13" customHeight="1"/>
    <row r="832" ht="13" customHeight="1"/>
    <row r="833" ht="13" customHeight="1"/>
    <row r="834" ht="13" customHeight="1"/>
    <row r="835" ht="13" customHeight="1"/>
    <row r="836" ht="13" customHeight="1"/>
    <row r="837" ht="13" customHeight="1"/>
    <row r="838" ht="13" customHeight="1"/>
    <row r="839" ht="13" customHeight="1"/>
    <row r="840" ht="13" customHeight="1"/>
    <row r="841" ht="13" customHeight="1"/>
    <row r="842" ht="13" customHeight="1"/>
    <row r="843" ht="13" customHeight="1"/>
    <row r="844" ht="13" customHeight="1"/>
    <row r="845" ht="13" customHeight="1"/>
    <row r="846" ht="13" customHeight="1"/>
    <row r="847" ht="13" customHeight="1"/>
    <row r="848" ht="13" customHeight="1"/>
    <row r="849" ht="13" customHeight="1"/>
    <row r="850" ht="13" customHeight="1"/>
    <row r="851" ht="13" customHeight="1"/>
    <row r="852" ht="13" customHeight="1"/>
    <row r="853" ht="13" customHeight="1"/>
    <row r="854" ht="13" customHeight="1"/>
    <row r="855" ht="13" customHeight="1"/>
    <row r="856" ht="13" customHeight="1"/>
    <row r="857" ht="13" customHeight="1"/>
    <row r="858" ht="13" customHeight="1"/>
    <row r="859" ht="13" customHeight="1"/>
    <row r="860" ht="13" customHeight="1"/>
    <row r="861" ht="13" customHeight="1"/>
    <row r="862" ht="13" customHeight="1"/>
    <row r="863" ht="13" customHeight="1"/>
    <row r="864" ht="13" customHeight="1"/>
    <row r="865" ht="13" customHeight="1"/>
    <row r="866" ht="13" customHeight="1"/>
    <row r="867" ht="13" customHeight="1"/>
    <row r="868" ht="13" customHeight="1"/>
    <row r="869" ht="13" customHeight="1"/>
    <row r="870" ht="13" customHeight="1"/>
    <row r="871" ht="13" customHeight="1"/>
    <row r="872" ht="13" customHeight="1"/>
    <row r="873" ht="13" customHeight="1"/>
    <row r="874" ht="13" customHeight="1"/>
    <row r="875" ht="13" customHeight="1"/>
    <row r="876" ht="13" customHeight="1"/>
    <row r="877" ht="13" customHeight="1"/>
    <row r="878" ht="13" customHeight="1"/>
    <row r="879" ht="13" customHeight="1"/>
    <row r="880" ht="13" customHeight="1"/>
    <row r="881" ht="13" customHeight="1"/>
    <row r="882" ht="13" customHeight="1"/>
    <row r="883" ht="13" customHeight="1"/>
    <row r="884" ht="13" customHeight="1"/>
    <row r="885" ht="13" customHeight="1"/>
    <row r="886" ht="13" customHeight="1"/>
    <row r="887" ht="13" customHeight="1"/>
    <row r="888" ht="13" customHeight="1"/>
    <row r="889" ht="13" customHeight="1"/>
    <row r="890" ht="13" customHeight="1"/>
    <row r="891" ht="13" customHeight="1"/>
    <row r="892" ht="13" customHeight="1"/>
    <row r="893" ht="13" customHeight="1"/>
    <row r="894" ht="13" customHeight="1"/>
    <row r="895" ht="13" customHeight="1"/>
    <row r="896" ht="13" customHeight="1"/>
    <row r="897" ht="13" customHeight="1"/>
    <row r="898" ht="13" customHeight="1"/>
    <row r="899" ht="13" customHeight="1"/>
    <row r="900" ht="13" customHeight="1"/>
    <row r="901" ht="13" customHeight="1"/>
    <row r="902" ht="13" customHeight="1"/>
    <row r="903" ht="13" customHeight="1"/>
    <row r="904" ht="13" customHeight="1"/>
    <row r="905" ht="13" customHeight="1"/>
    <row r="906" ht="13" customHeight="1"/>
    <row r="907" ht="13" customHeight="1"/>
    <row r="908" ht="13" customHeight="1"/>
    <row r="909" ht="13" customHeight="1"/>
    <row r="910" ht="13" customHeight="1"/>
    <row r="911" ht="13" customHeight="1"/>
    <row r="912" ht="13" customHeight="1"/>
    <row r="913" ht="13" customHeight="1"/>
    <row r="914" ht="13" customHeight="1"/>
    <row r="915" ht="13" customHeight="1"/>
    <row r="916" ht="13" customHeight="1"/>
    <row r="917" ht="13" customHeight="1"/>
    <row r="918" ht="13" customHeight="1"/>
    <row r="919" ht="13" customHeight="1"/>
    <row r="920" ht="13" customHeight="1"/>
    <row r="921" ht="13" customHeight="1"/>
    <row r="922" ht="13" customHeight="1"/>
    <row r="923" ht="13" customHeight="1"/>
    <row r="924" ht="13" customHeight="1"/>
    <row r="925" ht="13" customHeight="1"/>
    <row r="926" ht="13" customHeight="1"/>
    <row r="927" ht="13" customHeight="1"/>
    <row r="928" ht="13" customHeight="1"/>
    <row r="929" ht="13" customHeight="1"/>
    <row r="930" ht="13" customHeight="1"/>
    <row r="931" ht="13" customHeight="1"/>
    <row r="932" ht="13" customHeight="1"/>
    <row r="933" ht="13" customHeight="1"/>
    <row r="934" ht="13" customHeight="1"/>
    <row r="935" ht="13" customHeight="1"/>
    <row r="936" ht="13" customHeight="1"/>
    <row r="937" ht="13" customHeight="1"/>
    <row r="938" ht="13" customHeight="1"/>
    <row r="939" ht="13" customHeight="1"/>
    <row r="940" ht="13" customHeight="1"/>
    <row r="941" ht="13" customHeight="1"/>
    <row r="942" ht="13" customHeight="1"/>
    <row r="943" ht="13" customHeight="1"/>
    <row r="944" ht="13" customHeight="1"/>
    <row r="945" ht="13" customHeight="1"/>
    <row r="946" ht="13" customHeight="1"/>
    <row r="947" ht="13" customHeight="1"/>
    <row r="948" ht="13" customHeight="1"/>
    <row r="949" ht="13" customHeight="1"/>
    <row r="950" ht="13" customHeight="1"/>
    <row r="951" ht="13" customHeight="1"/>
    <row r="952" ht="13" customHeight="1"/>
    <row r="953" ht="13" customHeight="1"/>
    <row r="954" ht="13" customHeight="1"/>
    <row r="955" ht="13" customHeight="1"/>
    <row r="956" ht="13" customHeight="1"/>
    <row r="957" ht="13" customHeight="1"/>
    <row r="958" ht="13" customHeight="1"/>
    <row r="959" ht="13" customHeight="1"/>
    <row r="960" ht="13" customHeight="1"/>
    <row r="961" ht="13" customHeight="1"/>
    <row r="962" ht="13" customHeight="1"/>
    <row r="963" ht="13" customHeight="1"/>
    <row r="964" ht="13" customHeight="1"/>
    <row r="965" ht="13" customHeight="1"/>
    <row r="966" ht="13" customHeight="1"/>
    <row r="967" ht="13" customHeight="1"/>
    <row r="968" ht="13" customHeight="1"/>
    <row r="969" ht="13" customHeight="1"/>
    <row r="970" ht="13" customHeight="1"/>
    <row r="971" ht="13" customHeight="1"/>
    <row r="972" ht="13" customHeight="1"/>
    <row r="973" ht="13" customHeight="1"/>
    <row r="974" ht="13" customHeight="1"/>
    <row r="975" ht="13" customHeight="1"/>
    <row r="976" ht="13" customHeight="1"/>
    <row r="977" ht="13" customHeight="1"/>
    <row r="978" ht="13" customHeight="1"/>
    <row r="979" ht="13" customHeight="1"/>
    <row r="980" ht="13" customHeight="1"/>
    <row r="981" ht="13" customHeight="1"/>
    <row r="982" ht="13" customHeight="1"/>
    <row r="983" ht="13" customHeight="1"/>
    <row r="984" ht="13" customHeight="1"/>
    <row r="985" ht="13" customHeight="1"/>
    <row r="986" ht="13" customHeight="1"/>
    <row r="987" ht="13" customHeight="1"/>
    <row r="988" ht="13" customHeight="1"/>
    <row r="989" ht="13" customHeight="1"/>
    <row r="990" ht="13" customHeight="1"/>
    <row r="991" ht="13" customHeight="1"/>
    <row r="992" ht="13" customHeight="1"/>
    <row r="993" ht="13" customHeight="1"/>
    <row r="994" ht="13" customHeight="1"/>
    <row r="995" ht="13" customHeight="1"/>
    <row r="996" ht="13" customHeight="1"/>
    <row r="997" ht="13" customHeight="1"/>
    <row r="998" ht="13" customHeight="1"/>
    <row r="999" ht="13" customHeight="1"/>
    <row r="1000" ht="13" customHeight="1"/>
    <row r="1001" ht="13" customHeight="1"/>
    <row r="1002" ht="13" customHeight="1"/>
  </sheetData>
  <pageMargins left="0.7" right="0.7" top="0.75" bottom="0.75" header="0.3" footer="0.3"/>
  <ignoredErrors>
    <ignoredError numberStoredAsText="1" sqref="A1:P10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B1000"/>
  <sheetViews>
    <sheetView workbookViewId="0" rightToLeft="0"/>
  </sheetViews>
  <cols>
    <col min="1" max="1" customWidth="1" width="10.6640625"/>
    <col min="2" max="2" customWidth="1" width="13.1640625"/>
    <col min="3" max="3" customWidth="1" width="10.6640625"/>
    <col min="4" max="4" customWidth="1" width="10.6640625"/>
    <col min="5" max="5" customWidth="1" width="10.6640625"/>
    <col min="6" max="6" customWidth="1" width="10.6640625"/>
    <col min="7" max="7" customWidth="1" width="10.6640625"/>
    <col min="8" max="8" customWidth="1" width="10.6640625"/>
    <col min="9" max="9" customWidth="1" width="10.6640625"/>
    <col min="10" max="10" customWidth="1" width="10.6640625"/>
    <col min="11" max="11" customWidth="1" width="10.6640625"/>
    <col min="12" max="12" customWidth="1" width="10.6640625"/>
    <col min="13" max="13" customWidth="1" width="10.6640625"/>
    <col min="14" max="14" customWidth="1" width="10.6640625"/>
    <col min="15" max="15" customWidth="1" width="10.6640625"/>
    <col min="16" max="16" customWidth="1" width="10.6640625"/>
    <col min="17" max="17" customWidth="1" width="10.6640625"/>
    <col min="18" max="18" customWidth="1" width="10.6640625"/>
    <col min="19" max="19" customWidth="1" width="10.6640625"/>
    <col min="20" max="20" customWidth="1" width="10.6640625"/>
    <col min="21" max="21" customWidth="1" width="10.6640625"/>
    <col min="22" max="22" customWidth="1" width="10.6640625"/>
    <col min="23" max="23" customWidth="1" width="10.6640625"/>
    <col min="24" max="24" customWidth="1" width="10.6640625"/>
    <col min="25" max="25" customWidth="1" width="10.6640625"/>
    <col min="26" max="26" customWidth="1" width="10.6640625"/>
  </cols>
  <sheetData>
    <row r="1" ht="12.75" customHeight="1"/>
    <row r="2" ht="12.75" customHeight="1"/>
    <row r="3" ht="12.75" customHeight="1"/>
    <row r="4" ht="12.75" customHeight="1">
      <c r="B4" t="str">
        <v>Báo giá</v>
      </c>
    </row>
    <row r="5" ht="12.75" customHeight="1">
      <c r="B5" t="str">
        <v>Đang theo dõi</v>
      </c>
    </row>
    <row r="6" ht="12.75" customHeight="1">
      <c r="B6" t="str">
        <v>Thành công</v>
      </c>
    </row>
    <row r="7" ht="12.75" customHeight="1">
      <c r="B7" t="str">
        <v>Khác</v>
      </c>
    </row>
    <row r="8" ht="12.75" customHeight="1"/>
    <row r="9" ht="12.75" customHeight="1"/>
    <row r="10" ht="12.75" customHeight="1">
      <c r="B10" t="str">
        <v>Web</v>
      </c>
    </row>
    <row r="11" ht="12.75" customHeight="1">
      <c r="B11" t="str">
        <v>Page</v>
      </c>
    </row>
    <row r="12" ht="12.75" customHeight="1">
      <c r="B12" t="str">
        <v>CEO/PGD</v>
      </c>
    </row>
    <row r="13" ht="12.75" customHeight="1">
      <c r="B13" t="str">
        <v>Cá nhân</v>
      </c>
    </row>
    <row r="14" ht="12.75" customHeight="1"/>
    <row r="15" ht="12.75" customHeight="1"/>
    <row r="16" ht="12.75" customHeight="1">
      <c r="B16" t="str">
        <v>Tháng 01</v>
      </c>
    </row>
    <row r="17" ht="12.75" customHeight="1">
      <c r="B17" t="str">
        <v>Tháng 02</v>
      </c>
    </row>
    <row r="18" ht="12.75" customHeight="1">
      <c r="B18" t="str">
        <v>Tháng 03</v>
      </c>
    </row>
    <row r="19" ht="12.75" customHeight="1">
      <c r="B19" t="str">
        <v>Tháng 04</v>
      </c>
    </row>
    <row r="20" ht="12.75" customHeight="1">
      <c r="B20" t="str">
        <v>Tháng 05</v>
      </c>
    </row>
    <row r="21" ht="12.75" customHeight="1">
      <c r="B21" t="str">
        <v>Tháng 06</v>
      </c>
    </row>
    <row r="22" ht="12.75" customHeight="1">
      <c r="B22" t="str">
        <v>Tháng 07</v>
      </c>
    </row>
    <row r="23" ht="12.75" customHeight="1">
      <c r="B23" t="str">
        <v>Tháng 08</v>
      </c>
    </row>
    <row r="24" ht="12.75" customHeight="1">
      <c r="B24" t="str">
        <v>Tháng 09</v>
      </c>
    </row>
    <row r="25" ht="12.75" customHeight="1">
      <c r="B25" t="str">
        <v>Tháng 10</v>
      </c>
    </row>
    <row r="26" ht="12.75" customHeight="1">
      <c r="B26" t="str">
        <v>Tháng 11</v>
      </c>
    </row>
    <row r="27" ht="12.75" customHeight="1">
      <c r="B27" t="str">
        <v>Tháng 12</v>
      </c>
    </row>
    <row r="28" ht="12.75" customHeight="1"/>
    <row r="29" ht="12.75" customHeight="1"/>
    <row r="30" ht="12.75" customHeight="1"/>
    <row r="31" ht="12.75" customHeight="1">
      <c r="B31" t="str">
        <v>Vy Phan</v>
      </c>
    </row>
    <row r="32" ht="12.75" customHeight="1">
      <c r="B32" t="str">
        <v>Hầu Hưng</v>
      </c>
    </row>
    <row r="33" ht="12.75" customHeight="1">
      <c r="B33" t="str">
        <v>Hồng Trang</v>
      </c>
    </row>
    <row r="34" ht="12.75" customHeight="1">
      <c r="B34" t="str">
        <v>Hoàng Hoa</v>
      </c>
    </row>
    <row r="35" ht="12.75" customHeight="1">
      <c r="B35" t="str">
        <v>Thị Trang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ignoredErrors>
    <ignoredError numberStoredAsText="1" sqref="B1:B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2026</vt:lpstr>
      <vt:lpstr>THÀNH CÔNG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2026-04-05T15:20:04Z</dcterms:created>
  <dcterms:modified xsi:type="dcterms:W3CDTF">2026-04-05T15:20:32Z</dcterms:modified>
  <cp:lastModifiedBy>Travel Huynh Hieu</cp:lastModifiedBy>
</cp:coreProperties>
</file>