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Volumes/T7 Loki SS/WORK Hiếu/crm-fittour/data_import/"/>
    </mc:Choice>
  </mc:AlternateContent>
  <xr:revisionPtr revIDLastSave="0" documentId="13_ncr:20001_{0DBDB191-6472-4F4C-9B51-6FEA89D44B00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TA 2026" sheetId="1" r:id="rId1"/>
    <sheet name="THÀNH CÔNG" sheetId="2" r:id="rId2"/>
    <sheet name="NOT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O22" i="2"/>
  <c r="N22" i="2"/>
  <c r="M22" i="2"/>
  <c r="I22" i="2"/>
  <c r="H22" i="2"/>
  <c r="G22" i="2"/>
  <c r="F22" i="2"/>
  <c r="E22" i="2"/>
  <c r="D22" i="2"/>
  <c r="C22" i="2"/>
  <c r="B22" i="2"/>
  <c r="O21" i="2"/>
  <c r="N21" i="2"/>
  <c r="M21" i="2"/>
  <c r="I21" i="2"/>
  <c r="H21" i="2"/>
  <c r="G21" i="2"/>
  <c r="F21" i="2"/>
  <c r="E21" i="2"/>
  <c r="D21" i="2"/>
  <c r="C21" i="2"/>
  <c r="B21" i="2"/>
  <c r="O20" i="2"/>
  <c r="N20" i="2"/>
  <c r="M20" i="2"/>
  <c r="I20" i="2"/>
  <c r="H20" i="2"/>
  <c r="G20" i="2"/>
  <c r="F20" i="2"/>
  <c r="E20" i="2"/>
  <c r="D20" i="2"/>
  <c r="C20" i="2"/>
  <c r="B20" i="2"/>
  <c r="O19" i="2"/>
  <c r="N19" i="2"/>
  <c r="M19" i="2"/>
  <c r="I19" i="2"/>
  <c r="H19" i="2"/>
  <c r="G19" i="2"/>
  <c r="F19" i="2"/>
  <c r="E19" i="2"/>
  <c r="D19" i="2"/>
  <c r="C19" i="2"/>
  <c r="B19" i="2"/>
  <c r="O18" i="2"/>
  <c r="N18" i="2"/>
  <c r="M18" i="2"/>
  <c r="I18" i="2"/>
  <c r="H18" i="2"/>
  <c r="G18" i="2"/>
  <c r="F18" i="2"/>
  <c r="E18" i="2"/>
  <c r="D18" i="2"/>
  <c r="C18" i="2"/>
  <c r="B18" i="2"/>
  <c r="O17" i="2"/>
  <c r="N17" i="2"/>
  <c r="M17" i="2"/>
  <c r="I17" i="2"/>
  <c r="H17" i="2"/>
  <c r="G17" i="2"/>
  <c r="F17" i="2"/>
  <c r="E17" i="2"/>
  <c r="D17" i="2"/>
  <c r="C17" i="2"/>
  <c r="B17" i="2"/>
  <c r="O16" i="2"/>
  <c r="N16" i="2"/>
  <c r="M16" i="2"/>
  <c r="I16" i="2"/>
  <c r="H16" i="2"/>
  <c r="G16" i="2"/>
  <c r="F16" i="2"/>
  <c r="E16" i="2"/>
  <c r="D16" i="2"/>
  <c r="C16" i="2"/>
  <c r="B16" i="2"/>
  <c r="O15" i="2"/>
  <c r="N15" i="2"/>
  <c r="M15" i="2"/>
  <c r="I15" i="2"/>
  <c r="H15" i="2"/>
  <c r="G15" i="2"/>
  <c r="F15" i="2"/>
  <c r="E15" i="2"/>
  <c r="D15" i="2"/>
  <c r="C15" i="2"/>
  <c r="B15" i="2"/>
  <c r="O14" i="2"/>
  <c r="N14" i="2"/>
  <c r="M14" i="2"/>
  <c r="I14" i="2"/>
  <c r="H14" i="2"/>
  <c r="G14" i="2"/>
  <c r="F14" i="2"/>
  <c r="E14" i="2"/>
  <c r="D14" i="2"/>
  <c r="C14" i="2"/>
  <c r="B14" i="2"/>
  <c r="O13" i="2"/>
  <c r="N13" i="2"/>
  <c r="M13" i="2"/>
  <c r="K13" i="2"/>
  <c r="J13" i="2"/>
  <c r="I13" i="2"/>
  <c r="H13" i="2"/>
  <c r="G13" i="2"/>
  <c r="F13" i="2"/>
  <c r="E13" i="2"/>
  <c r="D13" i="2"/>
  <c r="C13" i="2"/>
  <c r="B13" i="2"/>
  <c r="O12" i="2"/>
  <c r="N12" i="2"/>
  <c r="M12" i="2"/>
  <c r="J12" i="2"/>
  <c r="I12" i="2"/>
  <c r="H12" i="2"/>
  <c r="G12" i="2"/>
  <c r="F12" i="2"/>
  <c r="E12" i="2"/>
  <c r="D12" i="2"/>
  <c r="C12" i="2"/>
  <c r="B12" i="2"/>
  <c r="O11" i="2"/>
  <c r="N11" i="2"/>
  <c r="M11" i="2"/>
  <c r="J11" i="2"/>
  <c r="I11" i="2"/>
  <c r="H11" i="2"/>
  <c r="G11" i="2"/>
  <c r="F11" i="2"/>
  <c r="E11" i="2"/>
  <c r="D11" i="2"/>
  <c r="C11" i="2"/>
  <c r="B11" i="2"/>
  <c r="O10" i="2"/>
  <c r="N10" i="2"/>
  <c r="M10" i="2"/>
  <c r="I10" i="2"/>
  <c r="H10" i="2"/>
  <c r="G10" i="2"/>
  <c r="F10" i="2"/>
  <c r="E10" i="2"/>
  <c r="D10" i="2"/>
  <c r="C10" i="2"/>
  <c r="B10" i="2"/>
  <c r="O9" i="2"/>
  <c r="N9" i="2"/>
  <c r="M9" i="2"/>
  <c r="I9" i="2"/>
  <c r="H9" i="2"/>
  <c r="G9" i="2"/>
  <c r="F9" i="2"/>
  <c r="E9" i="2"/>
  <c r="D9" i="2"/>
  <c r="C9" i="2"/>
  <c r="B9" i="2"/>
  <c r="O8" i="2"/>
  <c r="N8" i="2"/>
  <c r="M8" i="2"/>
  <c r="I8" i="2"/>
  <c r="H8" i="2"/>
  <c r="G8" i="2"/>
  <c r="F8" i="2"/>
  <c r="E8" i="2"/>
  <c r="D8" i="2"/>
  <c r="C8" i="2"/>
  <c r="B8" i="2"/>
  <c r="O7" i="2"/>
  <c r="N7" i="2"/>
  <c r="M7" i="2"/>
  <c r="I7" i="2"/>
  <c r="H7" i="2"/>
  <c r="G7" i="2"/>
  <c r="F7" i="2"/>
  <c r="E7" i="2"/>
  <c r="D7" i="2"/>
  <c r="C7" i="2"/>
  <c r="B7" i="2"/>
  <c r="O6" i="2"/>
  <c r="N6" i="2"/>
  <c r="M6" i="2"/>
  <c r="I6" i="2"/>
  <c r="H6" i="2"/>
  <c r="G6" i="2"/>
  <c r="F6" i="2"/>
  <c r="E6" i="2"/>
  <c r="D6" i="2"/>
  <c r="C6" i="2"/>
  <c r="B6" i="2"/>
  <c r="O5" i="2"/>
  <c r="N5" i="2"/>
  <c r="N2" i="2" s="1"/>
  <c r="M5" i="2"/>
  <c r="I5" i="2"/>
  <c r="H5" i="2"/>
  <c r="G5" i="2"/>
  <c r="F5" i="2"/>
  <c r="E5" i="2"/>
  <c r="D5" i="2"/>
  <c r="C5" i="2"/>
  <c r="B5" i="2"/>
  <c r="O4" i="2"/>
  <c r="N4" i="2"/>
  <c r="M4" i="2"/>
  <c r="I4" i="2"/>
  <c r="H4" i="2"/>
  <c r="G4" i="2"/>
  <c r="F4" i="2"/>
  <c r="E4" i="2"/>
  <c r="D4" i="2"/>
  <c r="C4" i="2"/>
  <c r="B4" i="2"/>
  <c r="B3" i="2"/>
  <c r="I2" i="2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9" i="1"/>
  <c r="N7" i="1"/>
  <c r="N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N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tc={0935314c-fd78-4400-ad13-41314a32447a}</author>
  </authors>
  <commentList>
    <comment ref="A1" authorId="0" shapeId="0" xr:uid="{0935314C-FD78-4400-AD13-41314A32447A}">
      <text>
        <t>[Threaded comment]
Your version of Excel allows you to read this threaded comment; however, any edits to it will get removed if the file is opened in a newer version of Excel. Learn more: https://go.microsoft.com/fwlink/?linkid=870924
Comment:
    Loại 1: 17k
Loại 2: 12k</t>
      </text>
    </comment>
  </commentList>
</comments>
</file>

<file path=xl/sharedStrings.xml><?xml version="1.0" encoding="utf-8"?>
<sst xmlns="http://schemas.openxmlformats.org/spreadsheetml/2006/main" count="416" uniqueCount="175">
  <si>
    <t>Stt</t>
  </si>
  <si>
    <t>Nguồn thông tin</t>
  </si>
  <si>
    <t>Sale</t>
  </si>
  <si>
    <t>Tình trạng</t>
  </si>
  <si>
    <t>Tên đoàn</t>
  </si>
  <si>
    <t>Thời gian</t>
  </si>
  <si>
    <t>Tuyến điểm</t>
  </si>
  <si>
    <t>Số lượng</t>
  </si>
  <si>
    <t>Đại diện</t>
  </si>
  <si>
    <t>Phone</t>
  </si>
  <si>
    <t>Mail</t>
  </si>
  <si>
    <t>Giá bán</t>
  </si>
  <si>
    <t>Doanh thu</t>
  </si>
  <si>
    <t>THÁNG KH</t>
  </si>
  <si>
    <t>CEO/PGD</t>
  </si>
  <si>
    <t>Vy Phan</t>
  </si>
  <si>
    <t>Thành công</t>
  </si>
  <si>
    <t xml:space="preserve">Draeger </t>
  </si>
  <si>
    <t>28-30/01</t>
  </si>
  <si>
    <t>Phú Quốc</t>
  </si>
  <si>
    <t>Tháng 01</t>
  </si>
  <si>
    <t>Ngân hàng VIB</t>
  </si>
  <si>
    <t>YEP - Miền Bắc</t>
  </si>
  <si>
    <t>Tháng 02</t>
  </si>
  <si>
    <t>YEP - Miền Nam</t>
  </si>
  <si>
    <t>Hầu Hưng</t>
  </si>
  <si>
    <t>Giáo dục Phương Nam</t>
  </si>
  <si>
    <t>YEP - HCM</t>
  </si>
  <si>
    <t>GD Bác Phấn</t>
  </si>
  <si>
    <t>06-10/01</t>
  </si>
  <si>
    <t>CITY HCM</t>
  </si>
  <si>
    <t>Khác</t>
  </si>
  <si>
    <t>VIB</t>
  </si>
  <si>
    <t>HÀ NỘI</t>
  </si>
  <si>
    <t>Tháng 03</t>
  </si>
  <si>
    <t>Draeger</t>
  </si>
  <si>
    <t>04-06/03</t>
  </si>
  <si>
    <t>PHÚ YÊN</t>
  </si>
  <si>
    <t>ECU</t>
  </si>
  <si>
    <t>18-22/3</t>
  </si>
  <si>
    <t>THÁI LAN</t>
  </si>
  <si>
    <t>Hồng Trang</t>
  </si>
  <si>
    <t>BOSCH SX</t>
  </si>
  <si>
    <t>19/03-22/03</t>
  </si>
  <si>
    <t>NHA TRANG</t>
  </si>
  <si>
    <t>Ms.Thục Uyên</t>
  </si>
  <si>
    <t>BOSCH EET</t>
  </si>
  <si>
    <t>27-29/3</t>
  </si>
  <si>
    <t>ĐÀ LẠT</t>
  </si>
  <si>
    <t>Ms.Ngọc Ánh</t>
  </si>
  <si>
    <t>PHÒNG KHÁM Y VIỆT</t>
  </si>
  <si>
    <t>28-29/03</t>
  </si>
  <si>
    <t>PHAN THIẾT</t>
  </si>
  <si>
    <t>Ms.Ngoan</t>
  </si>
  <si>
    <t>0332939159</t>
  </si>
  <si>
    <t>BOSCH EDT</t>
  </si>
  <si>
    <t>03-05/04</t>
  </si>
  <si>
    <t>Ms.Mỹ An</t>
  </si>
  <si>
    <t>Tháng 04</t>
  </si>
  <si>
    <t>BOSCH EJV</t>
  </si>
  <si>
    <t>02-03/4</t>
  </si>
  <si>
    <t>BẢO LỘC</t>
  </si>
  <si>
    <t>BOSCH CTG</t>
  </si>
  <si>
    <t>10-12/4</t>
  </si>
  <si>
    <t>PYEN-QNHON/VĨNH HY</t>
  </si>
  <si>
    <t>CG RECORD</t>
  </si>
  <si>
    <t>21/4-25/4</t>
  </si>
  <si>
    <t>LỆ GIANG</t>
  </si>
  <si>
    <t>Đang theo dõi</t>
  </si>
  <si>
    <t>BOSCH EPS</t>
  </si>
  <si>
    <t>24-26/4</t>
  </si>
  <si>
    <t>Hoàng Hoa</t>
  </si>
  <si>
    <t>KIỂM TOÁN EY</t>
  </si>
  <si>
    <t>22-24/4</t>
  </si>
  <si>
    <t>ĐÀ NẴNG</t>
  </si>
  <si>
    <t>Ms.Nhạn</t>
  </si>
  <si>
    <t>VIB BANK</t>
  </si>
  <si>
    <t>25/4 - 01/05</t>
  </si>
  <si>
    <t>UK</t>
  </si>
  <si>
    <t>QBI</t>
  </si>
  <si>
    <t>31/3-4/4</t>
  </si>
  <si>
    <t>BOSCH EAE</t>
  </si>
  <si>
    <t>15-17/5</t>
  </si>
  <si>
    <t>Tháng 05</t>
  </si>
  <si>
    <t>BOSCH QMM</t>
  </si>
  <si>
    <t>16-17/5</t>
  </si>
  <si>
    <t>VŨNG TÀU/ HỒ TRÀM</t>
  </si>
  <si>
    <t>Ms. Quỳnh Anh</t>
  </si>
  <si>
    <t>CONTINENTAL</t>
  </si>
  <si>
    <t>23-27/05</t>
  </si>
  <si>
    <t>Cá nhân</t>
  </si>
  <si>
    <t>DNP Shipping</t>
  </si>
  <si>
    <t>30/4-3/5</t>
  </si>
  <si>
    <t>CAMPUCHIA - LÀO</t>
  </si>
  <si>
    <t>VIETCOMBANK</t>
  </si>
  <si>
    <t>tháng 10</t>
  </si>
  <si>
    <t>TRUNG QUỐC/NHẬT BẢN</t>
  </si>
  <si>
    <t>Tháng 10</t>
  </si>
  <si>
    <t>1-4/9</t>
  </si>
  <si>
    <t>HÀN QUỐC</t>
  </si>
  <si>
    <t>Tháng 09</t>
  </si>
  <si>
    <t>BOSCH EAS</t>
  </si>
  <si>
    <t>17-19/4</t>
  </si>
  <si>
    <t xml:space="preserve">ĐÀ LẠT </t>
  </si>
  <si>
    <t>BOSCH EVN</t>
  </si>
  <si>
    <t>18-19/4</t>
  </si>
  <si>
    <t>HỒ TRÀM/ MŨI NÉ</t>
  </si>
  <si>
    <t>Tháng 06</t>
  </si>
  <si>
    <t>Kiểm TOÁN EY</t>
  </si>
  <si>
    <t>11/4 - 13/4</t>
  </si>
  <si>
    <t>PHÚ QUỐC</t>
  </si>
  <si>
    <t>LOGISTIC</t>
  </si>
  <si>
    <t>3/4-5/4</t>
  </si>
  <si>
    <t>ĐÀ LẠT 3N2Đ</t>
  </si>
  <si>
    <t>Linh Nhi</t>
  </si>
  <si>
    <t>033638857</t>
  </si>
  <si>
    <t>VLXD Việt trung</t>
  </si>
  <si>
    <t>23/7 - 35/7</t>
  </si>
  <si>
    <t>Tháng 07</t>
  </si>
  <si>
    <t>BOSCH ECA</t>
  </si>
  <si>
    <t>SKY DATA</t>
  </si>
  <si>
    <t>BALI</t>
  </si>
  <si>
    <t>Ms. Phương</t>
  </si>
  <si>
    <t>GĐ chị Hà</t>
  </si>
  <si>
    <t>Trung Quốc</t>
  </si>
  <si>
    <t>Dược Phẩm Nhất Nhất</t>
  </si>
  <si>
    <t>20-24/05</t>
  </si>
  <si>
    <t>Cam Ranh</t>
  </si>
  <si>
    <t>Nhóm bạn chị Cellin</t>
  </si>
  <si>
    <t>25-29.04</t>
  </si>
  <si>
    <t>TRUNG QUỐC</t>
  </si>
  <si>
    <t>Gia đình cô Kim Hoàng</t>
  </si>
  <si>
    <t>3/8 - 15/8</t>
  </si>
  <si>
    <t>Tháng 08</t>
  </si>
  <si>
    <t>Bosch Miền Bắc</t>
  </si>
  <si>
    <t>tháng 6</t>
  </si>
  <si>
    <t>Hạ Long</t>
  </si>
  <si>
    <t>Thị Trang</t>
  </si>
  <si>
    <t>CTY Hưng Phát</t>
  </si>
  <si>
    <t>09-11/05</t>
  </si>
  <si>
    <t>Báo giá</t>
  </si>
  <si>
    <t>JEBSEN &amp; JESSEN</t>
  </si>
  <si>
    <t>VP Bank</t>
  </si>
  <si>
    <t>Insee Nam Cát Tiên</t>
  </si>
  <si>
    <t>Nam Cát Tiên</t>
  </si>
  <si>
    <t>BOSCH HRL</t>
  </si>
  <si>
    <t>Miền Tây</t>
  </si>
  <si>
    <t>Nhóm bạn anh Thái Bình</t>
  </si>
  <si>
    <t>26.04-03.05</t>
  </si>
  <si>
    <t>Cty Thái Kim Lợi</t>
  </si>
  <si>
    <t>Thái Lan</t>
  </si>
  <si>
    <t>Insee Miền Trung</t>
  </si>
  <si>
    <t>Insee Commercial</t>
  </si>
  <si>
    <t>Insee thầu</t>
  </si>
  <si>
    <t>Ms.Vy handle</t>
  </si>
  <si>
    <t>Công ty TNHH Rize Vietnam</t>
  </si>
  <si>
    <t>Tháng 6</t>
  </si>
  <si>
    <t>Công ty Phát Kim Lợi</t>
  </si>
  <si>
    <t>Inbound</t>
  </si>
  <si>
    <t>29/5-2/6</t>
  </si>
  <si>
    <t>Miền Tây 5n4đ</t>
  </si>
  <si>
    <t>Ms.Lin</t>
  </si>
  <si>
    <t>Bất động sản Tuấn 123</t>
  </si>
  <si>
    <t>Malay</t>
  </si>
  <si>
    <t>Công ty gỗ / HDV Tài</t>
  </si>
  <si>
    <t>Đà Lạt</t>
  </si>
  <si>
    <t>STT</t>
  </si>
  <si>
    <t xml:space="preserve">Nguồn </t>
  </si>
  <si>
    <t xml:space="preserve">Tuyến </t>
  </si>
  <si>
    <t>Đã lên Web</t>
  </si>
  <si>
    <t>Done</t>
  </si>
  <si>
    <t>Web</t>
  </si>
  <si>
    <t>Page</t>
  </si>
  <si>
    <t>Tháng 11</t>
  </si>
  <si>
    <t>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</si>
</sst>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đ-42A]"/>
    <numFmt numFmtId="165" formatCode="dd/mm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Arial"/>
      <family val="2"/>
    </font>
    <font>
      <sz val="14"/>
      <color rgb="FFFF0000"/>
      <name val="Times New Roman"/>
      <family val="1"/>
    </font>
    <font>
      <sz val="10"/>
      <color rgb="FFFF0000"/>
      <name val="Arial"/>
      <family val="2"/>
      <scheme val="minor"/>
    </font>
    <font>
      <sz val="12"/>
      <color rgb="FF000000"/>
      <name val="Times New Roman"/>
      <family val="1"/>
    </font>
    <font>
      <sz val="10"/>
      <color theme="1"/>
      <name val="Arial"/>
      <family val="2"/>
      <scheme val="minor"/>
    </font>
    <font>
      <b/>
      <sz val="10"/>
      <color rgb="FF0000FF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9" fillId="0" borderId="0" xfId="0" applyFont="1"/>
    <xf numFmtId="0" fontId="3" fillId="0" borderId="1" xfId="0" quotePrefix="1" applyFont="1" applyBorder="1" applyAlignment="1">
      <alignment horizontal="center"/>
    </xf>
    <xf numFmtId="164" fontId="10" fillId="6" borderId="1" xfId="0" applyNumberFormat="1" applyFont="1" applyFill="1" applyBorder="1" applyAlignment="1">
      <alignment horizontal="center"/>
    </xf>
    <xf numFmtId="0" fontId="11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164" fontId="12" fillId="8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6" borderId="1" xfId="0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1" fillId="9" borderId="1" xfId="0" applyFont="1" applyFill="1" applyBorder="1" applyAlignment="1">
      <alignment horizontal="center"/>
    </xf>
    <xf numFmtId="164" fontId="11" fillId="9" borderId="1" xfId="0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" fillId="1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9" name="Text Box 15" hidden="1">
          <a:extLst>
            <a:ext uri="{FF2B5EF4-FFF2-40B4-BE49-F238E27FC236}">
              <a16:creationId xmlns:a16="http://schemas.microsoft.com/office/drawing/2014/main" id="{06FBB8EB-CF01-F842-FF65-B7276F526D2A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838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9</xdr:row>
      <xdr:rowOff>50800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D16E39E4-F843-B6F0-AF8F-D79EF260571A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65FFBEF5-012C-EF4B-2C6B-B53497DEB656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990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05DEF9E2-3815-CE2C-7B80-CE3EB9DF92C3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838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CFA707ED-EA59-89F6-B728-69A82D73DE6C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838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D8C8BAC2-8829-63E8-B430-3351C5A27927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838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7AB049CD-5BF4-8986-8A9C-D68BAAEA2F82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838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12</xdr:row>
      <xdr:rowOff>50800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B27AF53E-251D-F371-090B-9D4C9D6F2C69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F73B22CD-BA41-4BAD-AC36-201D179A42FB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838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72817546-843C-A76A-54A5-DD684B623948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990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9</xdr:row>
      <xdr:rowOff>50800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23886DAE-8A6A-8AE9-3C1A-3ADC58888F6A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12C73672-1CCE-F51B-7CAA-96D0DCFECF38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838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8EF02A60-5EEE-C32E-72EE-291DFBBEE94C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990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12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3D11EE5-0EBA-56CC-2C88-E1FF7427F993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C7DB2648-8C6E-9C6A-2DBE-1E3C98D28D4A}"/>
            </a:ext>
          </a:extLst>
        </xdr:cNvPr>
        <xdr:cNvSpPr txBox="1">
          <a:spLocks noChangeArrowheads="1"/>
        </xdr:cNvSpPr>
      </xdr:nvSpPr>
      <xdr:spPr bwMode="auto">
        <a:xfrm>
          <a:off x="1003300" y="279400"/>
          <a:ext cx="4749800" cy="838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crosoft Office User" id="{BCD80412-390D-433B-AFF7-94B635835D00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02T04:45:06.00" personId="{BCD80412-390D-433B-AFF7-94B635835D00}" id="{0935314C-FD78-4400-AD13-41314A32447A}">
    <text>Loại 1: 17k
Loại 2: 12k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8"/>
  <sheetViews>
    <sheetView tabSelected="1" workbookViewId="0">
      <pane xSplit="7" ySplit="5" topLeftCell="I6" activePane="bottomRight" state="frozen"/>
      <selection pane="topRight" activeCell="H1" sqref="H1"/>
      <selection pane="bottomLeft" activeCell="A6" sqref="A6"/>
      <selection pane="bottomRight" activeCell="N9" sqref="N9"/>
    </sheetView>
  </sheetViews>
  <sheetFormatPr baseColWidth="10" defaultColWidth="12.6640625" defaultRowHeight="15" customHeight="1" x14ac:dyDescent="0.15"/>
  <cols>
    <col min="1" max="1" width="10.6640625" customWidth="1"/>
    <col min="2" max="2" width="10.83203125" customWidth="1"/>
    <col min="3" max="3" width="20" customWidth="1"/>
    <col min="4" max="4" width="16.5" customWidth="1"/>
    <col min="5" max="5" width="15" customWidth="1"/>
    <col min="6" max="6" width="23.5" customWidth="1"/>
    <col min="7" max="7" width="13.83203125" customWidth="1"/>
    <col min="8" max="8" width="29.6640625" customWidth="1"/>
    <col min="9" max="9" width="25.1640625" customWidth="1"/>
    <col min="10" max="10" width="15.6640625" customWidth="1"/>
    <col min="11" max="11" width="16.1640625" customWidth="1"/>
    <col min="12" max="12" width="13.83203125" customWidth="1"/>
    <col min="13" max="13" width="13.33203125" customWidth="1"/>
    <col min="14" max="14" width="15" customWidth="1"/>
    <col min="15" max="15" width="21.6640625" customWidth="1"/>
    <col min="17" max="28" width="10.6640625" customWidth="1"/>
  </cols>
  <sheetData>
    <row r="1" spans="2:15" ht="12.75" customHeight="1" x14ac:dyDescent="0.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</row>
    <row r="2" spans="2:15" ht="12.75" customHeight="1" x14ac:dyDescent="0.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</row>
    <row r="3" spans="2:15" ht="12.75" customHeight="1" x14ac:dyDescent="0.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1"/>
      <c r="O3" s="1"/>
    </row>
    <row r="4" spans="2:15" ht="12.75" customHeight="1" x14ac:dyDescent="0.2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4" t="s">
        <v>11</v>
      </c>
      <c r="N4" s="3" t="s">
        <v>12</v>
      </c>
      <c r="O4" s="3" t="s">
        <v>13</v>
      </c>
    </row>
    <row r="5" spans="2:15" ht="12.75" customHeight="1" x14ac:dyDescent="0.2">
      <c r="B5" s="5">
        <v>1</v>
      </c>
      <c r="C5" s="5" t="s">
        <v>14</v>
      </c>
      <c r="D5" s="6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>
        <v>40</v>
      </c>
      <c r="J5" s="5"/>
      <c r="K5" s="5"/>
      <c r="L5" s="5"/>
      <c r="M5" s="7">
        <v>12000000</v>
      </c>
      <c r="N5" s="7">
        <f t="shared" ref="N5:N7" si="0">M5*I5</f>
        <v>480000000</v>
      </c>
      <c r="O5" s="8" t="s">
        <v>20</v>
      </c>
    </row>
    <row r="6" spans="2:15" ht="12.75" customHeight="1" x14ac:dyDescent="0.2">
      <c r="B6" s="5">
        <f t="shared" ref="B6:B72" si="1">B5+1</f>
        <v>2</v>
      </c>
      <c r="C6" s="5" t="s">
        <v>14</v>
      </c>
      <c r="D6" s="6" t="s">
        <v>15</v>
      </c>
      <c r="E6" s="5" t="s">
        <v>16</v>
      </c>
      <c r="F6" s="5" t="s">
        <v>21</v>
      </c>
      <c r="G6" s="9">
        <v>46060</v>
      </c>
      <c r="H6" s="5" t="s">
        <v>22</v>
      </c>
      <c r="I6" s="5">
        <v>250</v>
      </c>
      <c r="J6" s="5"/>
      <c r="K6" s="5"/>
      <c r="L6" s="5"/>
      <c r="M6" s="7">
        <v>1200000</v>
      </c>
      <c r="N6" s="7">
        <f t="shared" si="0"/>
        <v>300000000</v>
      </c>
      <c r="O6" s="8" t="s">
        <v>23</v>
      </c>
    </row>
    <row r="7" spans="2:15" ht="12.75" customHeight="1" x14ac:dyDescent="0.2">
      <c r="B7" s="5">
        <f t="shared" si="1"/>
        <v>3</v>
      </c>
      <c r="C7" s="5" t="s">
        <v>14</v>
      </c>
      <c r="D7" s="6" t="s">
        <v>15</v>
      </c>
      <c r="E7" s="5" t="s">
        <v>16</v>
      </c>
      <c r="F7" s="5" t="s">
        <v>21</v>
      </c>
      <c r="G7" s="9">
        <v>46061</v>
      </c>
      <c r="H7" s="5" t="s">
        <v>24</v>
      </c>
      <c r="I7" s="5">
        <v>500</v>
      </c>
      <c r="J7" s="5"/>
      <c r="K7" s="5"/>
      <c r="L7" s="5"/>
      <c r="M7" s="7">
        <v>1200000</v>
      </c>
      <c r="N7" s="7">
        <f t="shared" si="0"/>
        <v>600000000</v>
      </c>
      <c r="O7" s="8" t="s">
        <v>23</v>
      </c>
    </row>
    <row r="8" spans="2:15" ht="12.75" customHeight="1" x14ac:dyDescent="0.2">
      <c r="B8" s="5">
        <f t="shared" si="1"/>
        <v>4</v>
      </c>
      <c r="C8" s="5" t="s">
        <v>14</v>
      </c>
      <c r="D8" s="6" t="s">
        <v>25</v>
      </c>
      <c r="E8" s="5" t="s">
        <v>16</v>
      </c>
      <c r="F8" s="5" t="s">
        <v>26</v>
      </c>
      <c r="G8" s="9">
        <v>46060</v>
      </c>
      <c r="H8" s="5" t="s">
        <v>27</v>
      </c>
      <c r="I8" s="5">
        <v>200</v>
      </c>
      <c r="J8" s="5"/>
      <c r="K8" s="5"/>
      <c r="L8" s="5"/>
      <c r="M8" s="7">
        <v>30000000</v>
      </c>
      <c r="N8" s="7">
        <f>M8*I8</f>
        <v>6000000000</v>
      </c>
      <c r="O8" s="8" t="s">
        <v>23</v>
      </c>
    </row>
    <row r="9" spans="2:15" ht="12.75" customHeight="1" x14ac:dyDescent="0.2">
      <c r="B9" s="5">
        <f t="shared" si="1"/>
        <v>5</v>
      </c>
      <c r="C9" s="5" t="s">
        <v>14</v>
      </c>
      <c r="D9" s="6" t="s">
        <v>15</v>
      </c>
      <c r="E9" s="5" t="s">
        <v>16</v>
      </c>
      <c r="F9" s="5" t="s">
        <v>28</v>
      </c>
      <c r="G9" s="5" t="s">
        <v>29</v>
      </c>
      <c r="H9" s="5" t="s">
        <v>30</v>
      </c>
      <c r="I9" s="5">
        <v>2</v>
      </c>
      <c r="J9" s="5"/>
      <c r="K9" s="5"/>
      <c r="L9" s="5"/>
      <c r="M9" s="7">
        <v>13000000</v>
      </c>
      <c r="N9" s="7">
        <f>M9*I9</f>
        <v>26000000</v>
      </c>
      <c r="O9" s="8" t="s">
        <v>20</v>
      </c>
    </row>
    <row r="10" spans="2:15" ht="12.75" customHeight="1" x14ac:dyDescent="0.2">
      <c r="B10" s="10">
        <f t="shared" si="1"/>
        <v>6</v>
      </c>
      <c r="C10" s="10" t="s">
        <v>14</v>
      </c>
      <c r="D10" s="11" t="s">
        <v>25</v>
      </c>
      <c r="E10" s="10" t="s">
        <v>31</v>
      </c>
      <c r="F10" s="10" t="s">
        <v>32</v>
      </c>
      <c r="G10" s="12">
        <v>46088</v>
      </c>
      <c r="H10" s="10" t="s">
        <v>33</v>
      </c>
      <c r="I10" s="10"/>
      <c r="J10" s="10"/>
      <c r="K10" s="10"/>
      <c r="L10" s="10"/>
      <c r="M10" s="13"/>
      <c r="N10" s="10"/>
      <c r="O10" s="14" t="s">
        <v>34</v>
      </c>
    </row>
    <row r="11" spans="2:15" ht="12.75" customHeight="1" x14ac:dyDescent="0.2">
      <c r="B11" s="5">
        <f t="shared" si="1"/>
        <v>7</v>
      </c>
      <c r="C11" s="5" t="s">
        <v>14</v>
      </c>
      <c r="D11" s="6" t="s">
        <v>25</v>
      </c>
      <c r="E11" s="5" t="s">
        <v>16</v>
      </c>
      <c r="F11" s="5" t="s">
        <v>35</v>
      </c>
      <c r="G11" s="5" t="s">
        <v>36</v>
      </c>
      <c r="H11" s="5" t="s">
        <v>37</v>
      </c>
      <c r="I11" s="5">
        <v>30</v>
      </c>
      <c r="J11" s="5"/>
      <c r="K11" s="5"/>
      <c r="L11" s="5"/>
      <c r="M11" s="7">
        <v>106260000</v>
      </c>
      <c r="N11" s="7">
        <f>M11*1</f>
        <v>106260000</v>
      </c>
      <c r="O11" s="8" t="s">
        <v>20</v>
      </c>
    </row>
    <row r="12" spans="2:15" ht="12.75" customHeight="1" x14ac:dyDescent="0.2">
      <c r="B12" s="15">
        <f t="shared" si="1"/>
        <v>8</v>
      </c>
      <c r="C12" s="15" t="s">
        <v>14</v>
      </c>
      <c r="D12" s="16" t="s">
        <v>25</v>
      </c>
      <c r="E12" s="17" t="s">
        <v>16</v>
      </c>
      <c r="F12" s="15" t="s">
        <v>38</v>
      </c>
      <c r="G12" s="15" t="s">
        <v>39</v>
      </c>
      <c r="H12" s="15" t="s">
        <v>40</v>
      </c>
      <c r="I12" s="15">
        <v>32</v>
      </c>
      <c r="J12" s="15"/>
      <c r="K12" s="15"/>
      <c r="L12" s="15"/>
      <c r="M12" s="18">
        <v>12500000</v>
      </c>
      <c r="N12" s="19">
        <f t="shared" ref="N12:N56" si="2">M12*I12</f>
        <v>400000000</v>
      </c>
      <c r="O12" s="20" t="s">
        <v>34</v>
      </c>
    </row>
    <row r="13" spans="2:15" ht="12.75" customHeight="1" x14ac:dyDescent="0.2">
      <c r="B13" s="15">
        <f t="shared" si="1"/>
        <v>9</v>
      </c>
      <c r="C13" s="15" t="s">
        <v>14</v>
      </c>
      <c r="D13" s="16" t="s">
        <v>41</v>
      </c>
      <c r="E13" s="17" t="s">
        <v>16</v>
      </c>
      <c r="F13" s="15" t="s">
        <v>42</v>
      </c>
      <c r="G13" s="15" t="s">
        <v>43</v>
      </c>
      <c r="H13" s="15" t="s">
        <v>44</v>
      </c>
      <c r="I13" s="15">
        <v>250</v>
      </c>
      <c r="J13" s="15" t="s">
        <v>45</v>
      </c>
      <c r="K13" s="15"/>
      <c r="L13" s="15"/>
      <c r="M13" s="18">
        <v>4200000</v>
      </c>
      <c r="N13" s="19">
        <f t="shared" si="2"/>
        <v>1050000000</v>
      </c>
      <c r="O13" s="20" t="s">
        <v>34</v>
      </c>
    </row>
    <row r="14" spans="2:15" ht="12.75" customHeight="1" x14ac:dyDescent="0.2">
      <c r="B14" s="15">
        <f t="shared" si="1"/>
        <v>10</v>
      </c>
      <c r="C14" s="15" t="s">
        <v>14</v>
      </c>
      <c r="D14" s="16" t="s">
        <v>41</v>
      </c>
      <c r="E14" s="17" t="s">
        <v>16</v>
      </c>
      <c r="F14" s="15" t="s">
        <v>46</v>
      </c>
      <c r="G14" s="15" t="s">
        <v>47</v>
      </c>
      <c r="H14" s="15" t="s">
        <v>48</v>
      </c>
      <c r="I14" s="15">
        <v>120</v>
      </c>
      <c r="J14" s="15" t="s">
        <v>49</v>
      </c>
      <c r="K14" s="15"/>
      <c r="L14" s="15"/>
      <c r="M14" s="18">
        <v>4400000</v>
      </c>
      <c r="N14" s="19">
        <f t="shared" si="2"/>
        <v>528000000</v>
      </c>
      <c r="O14" s="20" t="s">
        <v>34</v>
      </c>
    </row>
    <row r="15" spans="2:15" ht="12.75" customHeight="1" x14ac:dyDescent="0.2">
      <c r="B15" s="15">
        <f t="shared" si="1"/>
        <v>11</v>
      </c>
      <c r="C15" s="15" t="s">
        <v>14</v>
      </c>
      <c r="D15" s="16" t="s">
        <v>41</v>
      </c>
      <c r="E15" s="17" t="s">
        <v>16</v>
      </c>
      <c r="F15" s="15" t="s">
        <v>50</v>
      </c>
      <c r="G15" s="15" t="s">
        <v>51</v>
      </c>
      <c r="H15" s="15" t="s">
        <v>52</v>
      </c>
      <c r="I15" s="15">
        <v>135</v>
      </c>
      <c r="J15" s="15" t="s">
        <v>53</v>
      </c>
      <c r="K15" s="21" t="s">
        <v>54</v>
      </c>
      <c r="L15" s="15"/>
      <c r="M15" s="18">
        <v>2350000</v>
      </c>
      <c r="N15" s="19">
        <f t="shared" si="2"/>
        <v>317250000</v>
      </c>
      <c r="O15" s="20" t="s">
        <v>34</v>
      </c>
    </row>
    <row r="16" spans="2:15" ht="12.75" customHeight="1" x14ac:dyDescent="0.2">
      <c r="B16" s="15">
        <f t="shared" si="1"/>
        <v>12</v>
      </c>
      <c r="C16" s="15" t="s">
        <v>14</v>
      </c>
      <c r="D16" s="16" t="s">
        <v>41</v>
      </c>
      <c r="E16" s="22" t="s">
        <v>31</v>
      </c>
      <c r="F16" s="15" t="s">
        <v>55</v>
      </c>
      <c r="G16" s="15" t="s">
        <v>56</v>
      </c>
      <c r="H16" s="15" t="s">
        <v>48</v>
      </c>
      <c r="I16" s="15">
        <v>150</v>
      </c>
      <c r="J16" s="15" t="s">
        <v>57</v>
      </c>
      <c r="K16" s="15"/>
      <c r="L16" s="15"/>
      <c r="M16" s="18">
        <v>3900000</v>
      </c>
      <c r="N16" s="19">
        <f t="shared" si="2"/>
        <v>585000000</v>
      </c>
      <c r="O16" s="20" t="s">
        <v>58</v>
      </c>
    </row>
    <row r="17" spans="1:28" ht="12.75" customHeight="1" x14ac:dyDescent="0.2">
      <c r="B17" s="23">
        <f t="shared" si="1"/>
        <v>13</v>
      </c>
      <c r="C17" s="23" t="s">
        <v>14</v>
      </c>
      <c r="D17" s="24" t="s">
        <v>41</v>
      </c>
      <c r="E17" s="23" t="s">
        <v>31</v>
      </c>
      <c r="F17" s="23" t="s">
        <v>59</v>
      </c>
      <c r="G17" s="23" t="s">
        <v>60</v>
      </c>
      <c r="H17" s="23" t="s">
        <v>61</v>
      </c>
      <c r="I17" s="23">
        <v>120</v>
      </c>
      <c r="J17" s="23"/>
      <c r="K17" s="23"/>
      <c r="L17" s="23"/>
      <c r="M17" s="25">
        <v>3000000</v>
      </c>
      <c r="N17" s="26">
        <f t="shared" si="2"/>
        <v>360000000</v>
      </c>
      <c r="O17" s="27" t="s">
        <v>58</v>
      </c>
    </row>
    <row r="18" spans="1:28" ht="12.75" customHeight="1" x14ac:dyDescent="0.2">
      <c r="B18" s="23">
        <f t="shared" si="1"/>
        <v>14</v>
      </c>
      <c r="C18" s="23" t="s">
        <v>14</v>
      </c>
      <c r="D18" s="24" t="s">
        <v>25</v>
      </c>
      <c r="E18" s="28" t="s">
        <v>31</v>
      </c>
      <c r="F18" s="23" t="s">
        <v>62</v>
      </c>
      <c r="G18" s="23" t="s">
        <v>63</v>
      </c>
      <c r="H18" s="23" t="s">
        <v>64</v>
      </c>
      <c r="I18" s="23">
        <v>45</v>
      </c>
      <c r="J18" s="23"/>
      <c r="K18" s="23"/>
      <c r="L18" s="23"/>
      <c r="M18" s="25">
        <v>3100000</v>
      </c>
      <c r="N18" s="26">
        <f t="shared" si="2"/>
        <v>139500000</v>
      </c>
      <c r="O18" s="27" t="s">
        <v>58</v>
      </c>
    </row>
    <row r="19" spans="1:28" ht="12.75" customHeight="1" x14ac:dyDescent="0.2">
      <c r="B19" s="15">
        <f t="shared" si="1"/>
        <v>15</v>
      </c>
      <c r="C19" s="15" t="s">
        <v>14</v>
      </c>
      <c r="D19" s="16" t="s">
        <v>41</v>
      </c>
      <c r="E19" s="17" t="s">
        <v>16</v>
      </c>
      <c r="F19" s="15" t="s">
        <v>65</v>
      </c>
      <c r="G19" s="15" t="s">
        <v>66</v>
      </c>
      <c r="H19" s="15" t="s">
        <v>67</v>
      </c>
      <c r="I19" s="15">
        <v>20</v>
      </c>
      <c r="J19" s="15"/>
      <c r="K19" s="15"/>
      <c r="L19" s="15"/>
      <c r="M19" s="18">
        <v>20000000</v>
      </c>
      <c r="N19" s="19">
        <f t="shared" si="2"/>
        <v>400000000</v>
      </c>
      <c r="O19" s="20" t="s">
        <v>58</v>
      </c>
    </row>
    <row r="20" spans="1:28" ht="12.75" customHeight="1" x14ac:dyDescent="0.2">
      <c r="B20" s="23">
        <f t="shared" si="1"/>
        <v>16</v>
      </c>
      <c r="C20" s="23" t="s">
        <v>14</v>
      </c>
      <c r="D20" s="24" t="s">
        <v>41</v>
      </c>
      <c r="E20" s="23" t="s">
        <v>68</v>
      </c>
      <c r="F20" s="23" t="s">
        <v>69</v>
      </c>
      <c r="G20" s="23" t="s">
        <v>70</v>
      </c>
      <c r="H20" s="23" t="s">
        <v>61</v>
      </c>
      <c r="I20" s="23">
        <v>120</v>
      </c>
      <c r="J20" s="23"/>
      <c r="K20" s="23"/>
      <c r="L20" s="23"/>
      <c r="M20" s="25">
        <v>4450000</v>
      </c>
      <c r="N20" s="26">
        <f t="shared" si="2"/>
        <v>534000000</v>
      </c>
      <c r="O20" s="27" t="s">
        <v>58</v>
      </c>
    </row>
    <row r="21" spans="1:28" ht="12.75" customHeight="1" x14ac:dyDescent="0.2">
      <c r="B21" s="23">
        <f t="shared" si="1"/>
        <v>17</v>
      </c>
      <c r="C21" s="23" t="s">
        <v>14</v>
      </c>
      <c r="D21" s="24" t="s">
        <v>71</v>
      </c>
      <c r="E21" s="28" t="s">
        <v>31</v>
      </c>
      <c r="F21" s="23" t="s">
        <v>72</v>
      </c>
      <c r="G21" s="23" t="s">
        <v>73</v>
      </c>
      <c r="H21" s="23" t="s">
        <v>74</v>
      </c>
      <c r="I21" s="23">
        <v>41</v>
      </c>
      <c r="J21" s="23" t="s">
        <v>75</v>
      </c>
      <c r="K21" s="23"/>
      <c r="L21" s="23"/>
      <c r="M21" s="25">
        <v>10990000</v>
      </c>
      <c r="N21" s="26">
        <f t="shared" si="2"/>
        <v>450590000</v>
      </c>
      <c r="O21" s="27" t="s">
        <v>58</v>
      </c>
    </row>
    <row r="22" spans="1:28" ht="12.75" customHeight="1" x14ac:dyDescent="0.2">
      <c r="B22" s="15">
        <f t="shared" si="1"/>
        <v>18</v>
      </c>
      <c r="C22" s="15" t="s">
        <v>14</v>
      </c>
      <c r="D22" s="16" t="s">
        <v>15</v>
      </c>
      <c r="E22" s="17" t="s">
        <v>16</v>
      </c>
      <c r="F22" s="15" t="s">
        <v>76</v>
      </c>
      <c r="G22" s="15" t="s">
        <v>77</v>
      </c>
      <c r="H22" s="15" t="s">
        <v>78</v>
      </c>
      <c r="I22" s="15">
        <v>7</v>
      </c>
      <c r="J22" s="15"/>
      <c r="K22" s="15"/>
      <c r="L22" s="15"/>
      <c r="M22" s="18">
        <v>98000000</v>
      </c>
      <c r="N22" s="19">
        <f t="shared" si="2"/>
        <v>686000000</v>
      </c>
      <c r="O22" s="20" t="s">
        <v>58</v>
      </c>
    </row>
    <row r="23" spans="1:28" ht="12.75" customHeight="1" x14ac:dyDescent="0.2">
      <c r="B23" s="15">
        <f t="shared" si="1"/>
        <v>19</v>
      </c>
      <c r="C23" s="15" t="s">
        <v>14</v>
      </c>
      <c r="D23" s="16" t="s">
        <v>25</v>
      </c>
      <c r="E23" s="17" t="s">
        <v>16</v>
      </c>
      <c r="F23" s="15" t="s">
        <v>79</v>
      </c>
      <c r="G23" s="15" t="s">
        <v>80</v>
      </c>
      <c r="H23" s="15" t="s">
        <v>67</v>
      </c>
      <c r="I23" s="15">
        <v>20</v>
      </c>
      <c r="J23" s="15"/>
      <c r="K23" s="15"/>
      <c r="L23" s="15"/>
      <c r="M23" s="18">
        <v>19000000</v>
      </c>
      <c r="N23" s="19">
        <f t="shared" si="2"/>
        <v>380000000</v>
      </c>
      <c r="O23" s="20" t="s">
        <v>34</v>
      </c>
    </row>
    <row r="24" spans="1:28" ht="12.75" customHeight="1" x14ac:dyDescent="0.2">
      <c r="B24" s="15">
        <f t="shared" si="1"/>
        <v>20</v>
      </c>
      <c r="C24" s="15" t="s">
        <v>14</v>
      </c>
      <c r="D24" s="16" t="s">
        <v>41</v>
      </c>
      <c r="E24" s="17" t="s">
        <v>16</v>
      </c>
      <c r="F24" s="15" t="s">
        <v>81</v>
      </c>
      <c r="G24" s="15" t="s">
        <v>82</v>
      </c>
      <c r="H24" s="15" t="s">
        <v>44</v>
      </c>
      <c r="I24" s="15">
        <v>100</v>
      </c>
      <c r="J24" s="15"/>
      <c r="K24" s="15"/>
      <c r="L24" s="15"/>
      <c r="M24" s="18">
        <v>4800000</v>
      </c>
      <c r="N24" s="19">
        <f t="shared" si="2"/>
        <v>480000000</v>
      </c>
      <c r="O24" s="20" t="s">
        <v>83</v>
      </c>
    </row>
    <row r="25" spans="1:28" ht="12.75" customHeight="1" x14ac:dyDescent="0.2">
      <c r="B25" s="23">
        <f t="shared" si="1"/>
        <v>21</v>
      </c>
      <c r="C25" s="23" t="s">
        <v>14</v>
      </c>
      <c r="D25" s="24" t="s">
        <v>71</v>
      </c>
      <c r="E25" s="23" t="s">
        <v>68</v>
      </c>
      <c r="F25" s="23" t="s">
        <v>84</v>
      </c>
      <c r="G25" s="23" t="s">
        <v>85</v>
      </c>
      <c r="H25" s="23" t="s">
        <v>86</v>
      </c>
      <c r="I25" s="23">
        <v>40</v>
      </c>
      <c r="J25" s="23" t="s">
        <v>87</v>
      </c>
      <c r="K25" s="23"/>
      <c r="L25" s="23"/>
      <c r="M25" s="25">
        <v>4100000</v>
      </c>
      <c r="N25" s="26">
        <f t="shared" si="2"/>
        <v>164000000</v>
      </c>
      <c r="O25" s="27" t="s">
        <v>83</v>
      </c>
    </row>
    <row r="26" spans="1:28" ht="12.75" customHeight="1" x14ac:dyDescent="0.2">
      <c r="B26" s="23">
        <f t="shared" si="1"/>
        <v>22</v>
      </c>
      <c r="C26" s="23" t="s">
        <v>14</v>
      </c>
      <c r="D26" s="24" t="s">
        <v>25</v>
      </c>
      <c r="E26" s="23" t="s">
        <v>68</v>
      </c>
      <c r="F26" s="23" t="s">
        <v>88</v>
      </c>
      <c r="G26" s="23" t="s">
        <v>89</v>
      </c>
      <c r="H26" s="23" t="s">
        <v>40</v>
      </c>
      <c r="I26" s="23">
        <v>40</v>
      </c>
      <c r="J26" s="23"/>
      <c r="K26" s="23"/>
      <c r="L26" s="23"/>
      <c r="M26" s="25">
        <v>23000000</v>
      </c>
      <c r="N26" s="26">
        <f t="shared" si="2"/>
        <v>920000000</v>
      </c>
      <c r="O26" s="27" t="s">
        <v>83</v>
      </c>
    </row>
    <row r="27" spans="1:28" ht="12.75" customHeight="1" x14ac:dyDescent="0.2">
      <c r="B27" s="23">
        <f t="shared" si="1"/>
        <v>23</v>
      </c>
      <c r="C27" s="23" t="s">
        <v>90</v>
      </c>
      <c r="D27" s="24" t="s">
        <v>71</v>
      </c>
      <c r="E27" s="23" t="s">
        <v>68</v>
      </c>
      <c r="F27" s="23" t="s">
        <v>91</v>
      </c>
      <c r="G27" s="23" t="s">
        <v>92</v>
      </c>
      <c r="H27" s="23" t="s">
        <v>93</v>
      </c>
      <c r="I27" s="23">
        <v>30</v>
      </c>
      <c r="J27" s="23"/>
      <c r="K27" s="23"/>
      <c r="L27" s="23"/>
      <c r="M27" s="25">
        <v>9590000</v>
      </c>
      <c r="N27" s="26">
        <f t="shared" si="2"/>
        <v>287700000</v>
      </c>
      <c r="O27" s="27" t="s">
        <v>58</v>
      </c>
    </row>
    <row r="28" spans="1:28" ht="12.75" customHeight="1" x14ac:dyDescent="0.2">
      <c r="B28" s="23">
        <f t="shared" si="1"/>
        <v>24</v>
      </c>
      <c r="C28" s="23" t="s">
        <v>14</v>
      </c>
      <c r="D28" s="24" t="s">
        <v>41</v>
      </c>
      <c r="E28" s="23" t="s">
        <v>68</v>
      </c>
      <c r="F28" s="23" t="s">
        <v>94</v>
      </c>
      <c r="G28" s="23" t="s">
        <v>95</v>
      </c>
      <c r="H28" s="23" t="s">
        <v>96</v>
      </c>
      <c r="I28" s="23">
        <v>20</v>
      </c>
      <c r="J28" s="23"/>
      <c r="K28" s="23"/>
      <c r="L28" s="23"/>
      <c r="M28" s="25">
        <v>20000000</v>
      </c>
      <c r="N28" s="26">
        <f t="shared" si="2"/>
        <v>400000000</v>
      </c>
      <c r="O28" s="27" t="s">
        <v>97</v>
      </c>
    </row>
    <row r="29" spans="1:28" ht="12.75" customHeight="1" x14ac:dyDescent="0.2">
      <c r="A29" s="29"/>
      <c r="B29" s="15">
        <f t="shared" si="1"/>
        <v>25</v>
      </c>
      <c r="C29" s="15" t="s">
        <v>14</v>
      </c>
      <c r="D29" s="16" t="s">
        <v>15</v>
      </c>
      <c r="E29" s="17" t="s">
        <v>16</v>
      </c>
      <c r="F29" s="15" t="s">
        <v>76</v>
      </c>
      <c r="G29" s="15" t="s">
        <v>98</v>
      </c>
      <c r="H29" s="15" t="s">
        <v>99</v>
      </c>
      <c r="I29" s="15">
        <v>7</v>
      </c>
      <c r="J29" s="15"/>
      <c r="K29" s="15"/>
      <c r="L29" s="15"/>
      <c r="M29" s="18">
        <v>15000000</v>
      </c>
      <c r="N29" s="19">
        <f t="shared" si="2"/>
        <v>105000000</v>
      </c>
      <c r="O29" s="20" t="s">
        <v>100</v>
      </c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ht="12.75" customHeight="1" x14ac:dyDescent="0.2">
      <c r="B30" s="23">
        <f t="shared" si="1"/>
        <v>26</v>
      </c>
      <c r="C30" s="23" t="s">
        <v>14</v>
      </c>
      <c r="D30" s="24" t="s">
        <v>41</v>
      </c>
      <c r="E30" s="23" t="s">
        <v>68</v>
      </c>
      <c r="F30" s="23" t="s">
        <v>101</v>
      </c>
      <c r="G30" s="23" t="s">
        <v>102</v>
      </c>
      <c r="H30" s="23" t="s">
        <v>103</v>
      </c>
      <c r="I30" s="23">
        <v>200</v>
      </c>
      <c r="J30" s="23"/>
      <c r="K30" s="23"/>
      <c r="L30" s="23"/>
      <c r="M30" s="25">
        <v>3850000</v>
      </c>
      <c r="N30" s="19">
        <f t="shared" si="2"/>
        <v>770000000</v>
      </c>
      <c r="O30" s="27" t="s">
        <v>100</v>
      </c>
    </row>
    <row r="31" spans="1:28" ht="12.75" customHeight="1" x14ac:dyDescent="0.2">
      <c r="B31" s="23">
        <f t="shared" si="1"/>
        <v>27</v>
      </c>
      <c r="C31" s="23" t="s">
        <v>14</v>
      </c>
      <c r="D31" s="24" t="s">
        <v>71</v>
      </c>
      <c r="E31" s="23" t="s">
        <v>68</v>
      </c>
      <c r="F31" s="23" t="s">
        <v>104</v>
      </c>
      <c r="G31" s="23" t="s">
        <v>105</v>
      </c>
      <c r="H31" s="23" t="s">
        <v>106</v>
      </c>
      <c r="I31" s="23">
        <v>40</v>
      </c>
      <c r="J31" s="23"/>
      <c r="K31" s="23"/>
      <c r="L31" s="23"/>
      <c r="M31" s="25">
        <v>4500000</v>
      </c>
      <c r="N31" s="19">
        <f t="shared" si="2"/>
        <v>180000000</v>
      </c>
      <c r="O31" s="27" t="s">
        <v>107</v>
      </c>
    </row>
    <row r="32" spans="1:28" ht="12.75" customHeight="1" x14ac:dyDescent="0.2">
      <c r="B32" s="23">
        <f t="shared" si="1"/>
        <v>28</v>
      </c>
      <c r="C32" s="23" t="s">
        <v>14</v>
      </c>
      <c r="D32" s="24" t="s">
        <v>71</v>
      </c>
      <c r="E32" s="28" t="s">
        <v>31</v>
      </c>
      <c r="F32" s="23" t="s">
        <v>108</v>
      </c>
      <c r="G32" s="23" t="s">
        <v>109</v>
      </c>
      <c r="H32" s="23" t="s">
        <v>110</v>
      </c>
      <c r="I32" s="23">
        <v>9</v>
      </c>
      <c r="J32" s="23"/>
      <c r="K32" s="23"/>
      <c r="L32" s="23"/>
      <c r="M32" s="25">
        <v>6000000</v>
      </c>
      <c r="N32" s="19">
        <f t="shared" si="2"/>
        <v>54000000</v>
      </c>
      <c r="O32" s="27" t="s">
        <v>58</v>
      </c>
    </row>
    <row r="33" spans="1:28" ht="12.75" customHeight="1" x14ac:dyDescent="0.2">
      <c r="B33" s="23">
        <f t="shared" si="1"/>
        <v>29</v>
      </c>
      <c r="C33" s="23" t="s">
        <v>14</v>
      </c>
      <c r="D33" s="24" t="s">
        <v>71</v>
      </c>
      <c r="E33" s="28" t="s">
        <v>31</v>
      </c>
      <c r="F33" s="23" t="s">
        <v>111</v>
      </c>
      <c r="G33" s="23" t="s">
        <v>112</v>
      </c>
      <c r="H33" s="23" t="s">
        <v>113</v>
      </c>
      <c r="I33" s="23">
        <v>15</v>
      </c>
      <c r="J33" s="23" t="s">
        <v>114</v>
      </c>
      <c r="K33" s="30" t="s">
        <v>115</v>
      </c>
      <c r="L33" s="23"/>
      <c r="M33" s="25">
        <v>3000000</v>
      </c>
      <c r="N33" s="19">
        <f t="shared" si="2"/>
        <v>45000000</v>
      </c>
      <c r="O33" s="27" t="s">
        <v>58</v>
      </c>
    </row>
    <row r="34" spans="1:28" ht="12.75" customHeight="1" x14ac:dyDescent="0.2">
      <c r="B34" s="23">
        <f t="shared" si="1"/>
        <v>30</v>
      </c>
      <c r="C34" s="23" t="s">
        <v>14</v>
      </c>
      <c r="D34" s="24" t="s">
        <v>41</v>
      </c>
      <c r="E34" s="23" t="s">
        <v>68</v>
      </c>
      <c r="F34" s="23" t="s">
        <v>116</v>
      </c>
      <c r="G34" s="23" t="s">
        <v>117</v>
      </c>
      <c r="H34" s="23" t="s">
        <v>110</v>
      </c>
      <c r="I34" s="23">
        <v>70</v>
      </c>
      <c r="J34" s="23"/>
      <c r="K34" s="23"/>
      <c r="L34" s="23"/>
      <c r="M34" s="25">
        <v>12000000</v>
      </c>
      <c r="N34" s="19">
        <f t="shared" si="2"/>
        <v>840000000</v>
      </c>
      <c r="O34" s="27" t="s">
        <v>118</v>
      </c>
    </row>
    <row r="35" spans="1:28" ht="12.75" customHeight="1" x14ac:dyDescent="0.2">
      <c r="B35" s="23">
        <f t="shared" si="1"/>
        <v>31</v>
      </c>
      <c r="C35" s="23" t="s">
        <v>14</v>
      </c>
      <c r="D35" s="24" t="s">
        <v>25</v>
      </c>
      <c r="E35" s="23" t="s">
        <v>68</v>
      </c>
      <c r="F35" s="23" t="s">
        <v>119</v>
      </c>
      <c r="G35" s="23"/>
      <c r="H35" s="23" t="s">
        <v>61</v>
      </c>
      <c r="I35" s="23">
        <v>100</v>
      </c>
      <c r="J35" s="23"/>
      <c r="K35" s="23"/>
      <c r="L35" s="23"/>
      <c r="M35" s="25">
        <v>3100000</v>
      </c>
      <c r="N35" s="19">
        <f t="shared" si="2"/>
        <v>310000000</v>
      </c>
      <c r="O35" s="27" t="s">
        <v>107</v>
      </c>
    </row>
    <row r="36" spans="1:28" ht="12.75" customHeight="1" x14ac:dyDescent="0.2">
      <c r="B36" s="23">
        <f t="shared" si="1"/>
        <v>32</v>
      </c>
      <c r="C36" s="23" t="s">
        <v>14</v>
      </c>
      <c r="D36" s="24" t="s">
        <v>71</v>
      </c>
      <c r="E36" s="23" t="s">
        <v>68</v>
      </c>
      <c r="F36" s="23" t="s">
        <v>120</v>
      </c>
      <c r="G36" s="23"/>
      <c r="H36" s="23" t="s">
        <v>121</v>
      </c>
      <c r="I36" s="23">
        <v>60</v>
      </c>
      <c r="J36" s="23" t="s">
        <v>122</v>
      </c>
      <c r="K36" s="23"/>
      <c r="L36" s="23"/>
      <c r="M36" s="25">
        <v>27000000</v>
      </c>
      <c r="N36" s="19">
        <f t="shared" si="2"/>
        <v>1620000000</v>
      </c>
      <c r="O36" s="27" t="s">
        <v>107</v>
      </c>
    </row>
    <row r="37" spans="1:28" ht="12.75" customHeight="1" x14ac:dyDescent="0.2">
      <c r="B37" s="23">
        <f t="shared" si="1"/>
        <v>33</v>
      </c>
      <c r="C37" s="23" t="s">
        <v>14</v>
      </c>
      <c r="D37" s="24" t="s">
        <v>71</v>
      </c>
      <c r="E37" s="28" t="s">
        <v>31</v>
      </c>
      <c r="F37" s="23" t="s">
        <v>123</v>
      </c>
      <c r="G37" s="23"/>
      <c r="H37" s="23" t="s">
        <v>124</v>
      </c>
      <c r="I37" s="23">
        <v>5</v>
      </c>
      <c r="J37" s="23"/>
      <c r="K37" s="23"/>
      <c r="L37" s="23"/>
      <c r="M37" s="25">
        <v>15000000</v>
      </c>
      <c r="N37" s="19">
        <f t="shared" si="2"/>
        <v>75000000</v>
      </c>
      <c r="O37" s="27" t="s">
        <v>58</v>
      </c>
    </row>
    <row r="38" spans="1:28" ht="12.75" customHeight="1" x14ac:dyDescent="0.2">
      <c r="B38" s="23">
        <f t="shared" si="1"/>
        <v>34</v>
      </c>
      <c r="C38" s="23" t="s">
        <v>14</v>
      </c>
      <c r="D38" s="24" t="s">
        <v>15</v>
      </c>
      <c r="E38" s="23" t="s">
        <v>16</v>
      </c>
      <c r="F38" s="23" t="s">
        <v>125</v>
      </c>
      <c r="G38" s="23" t="s">
        <v>126</v>
      </c>
      <c r="H38" s="23" t="s">
        <v>127</v>
      </c>
      <c r="I38" s="23">
        <v>300</v>
      </c>
      <c r="J38" s="23"/>
      <c r="K38" s="23"/>
      <c r="L38" s="23"/>
      <c r="M38" s="25">
        <v>8000000</v>
      </c>
      <c r="N38" s="19">
        <f t="shared" si="2"/>
        <v>2400000000</v>
      </c>
      <c r="O38" s="27" t="s">
        <v>83</v>
      </c>
    </row>
    <row r="39" spans="1:28" ht="12.75" customHeight="1" x14ac:dyDescent="0.2">
      <c r="A39" s="29"/>
      <c r="B39" s="23">
        <f t="shared" si="1"/>
        <v>35</v>
      </c>
      <c r="C39" s="15" t="s">
        <v>14</v>
      </c>
      <c r="D39" s="16" t="s">
        <v>71</v>
      </c>
      <c r="E39" s="17" t="s">
        <v>16</v>
      </c>
      <c r="F39" s="15" t="s">
        <v>128</v>
      </c>
      <c r="G39" s="15" t="s">
        <v>129</v>
      </c>
      <c r="H39" s="15" t="s">
        <v>130</v>
      </c>
      <c r="I39" s="15">
        <v>12</v>
      </c>
      <c r="J39" s="15"/>
      <c r="K39" s="15"/>
      <c r="L39" s="15"/>
      <c r="M39" s="18">
        <v>31500000</v>
      </c>
      <c r="N39" s="19">
        <f t="shared" si="2"/>
        <v>378000000</v>
      </c>
      <c r="O39" s="20" t="s">
        <v>58</v>
      </c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ht="12.75" customHeight="1" x14ac:dyDescent="0.2">
      <c r="B40" s="23">
        <f t="shared" si="1"/>
        <v>36</v>
      </c>
      <c r="C40" s="23" t="s">
        <v>14</v>
      </c>
      <c r="D40" s="24" t="s">
        <v>25</v>
      </c>
      <c r="E40" s="23" t="s">
        <v>68</v>
      </c>
      <c r="F40" s="23" t="s">
        <v>131</v>
      </c>
      <c r="G40" s="23" t="s">
        <v>132</v>
      </c>
      <c r="H40" s="23" t="s">
        <v>130</v>
      </c>
      <c r="I40" s="23"/>
      <c r="J40" s="23"/>
      <c r="K40" s="23"/>
      <c r="L40" s="23"/>
      <c r="M40" s="25"/>
      <c r="N40" s="19">
        <f t="shared" si="2"/>
        <v>0</v>
      </c>
      <c r="O40" s="27" t="s">
        <v>133</v>
      </c>
    </row>
    <row r="41" spans="1:28" ht="12.75" customHeight="1" x14ac:dyDescent="0.2">
      <c r="B41" s="23">
        <f t="shared" si="1"/>
        <v>37</v>
      </c>
      <c r="C41" s="23" t="s">
        <v>14</v>
      </c>
      <c r="D41" s="24" t="s">
        <v>25</v>
      </c>
      <c r="E41" s="23" t="s">
        <v>68</v>
      </c>
      <c r="F41" s="23" t="s">
        <v>134</v>
      </c>
      <c r="G41" s="23" t="s">
        <v>135</v>
      </c>
      <c r="H41" s="23" t="s">
        <v>136</v>
      </c>
      <c r="I41" s="23">
        <v>200</v>
      </c>
      <c r="J41" s="23"/>
      <c r="K41" s="23"/>
      <c r="L41" s="23"/>
      <c r="M41" s="25">
        <v>3000000</v>
      </c>
      <c r="N41" s="31">
        <f t="shared" si="2"/>
        <v>600000000</v>
      </c>
      <c r="O41" s="27" t="s">
        <v>107</v>
      </c>
    </row>
    <row r="42" spans="1:28" ht="12.75" customHeight="1" x14ac:dyDescent="0.2">
      <c r="A42" s="29"/>
      <c r="B42" s="23">
        <f t="shared" si="1"/>
        <v>38</v>
      </c>
      <c r="C42" s="15" t="s">
        <v>90</v>
      </c>
      <c r="D42" s="16" t="s">
        <v>137</v>
      </c>
      <c r="E42" s="17" t="s">
        <v>16</v>
      </c>
      <c r="F42" s="15" t="s">
        <v>138</v>
      </c>
      <c r="G42" s="15" t="s">
        <v>139</v>
      </c>
      <c r="H42" s="15" t="s">
        <v>110</v>
      </c>
      <c r="I42" s="15">
        <v>1</v>
      </c>
      <c r="J42" s="15"/>
      <c r="K42" s="15"/>
      <c r="L42" s="15"/>
      <c r="M42" s="18">
        <v>131740000</v>
      </c>
      <c r="N42" s="19">
        <f t="shared" si="2"/>
        <v>131740000</v>
      </c>
      <c r="O42" s="20" t="s">
        <v>83</v>
      </c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1:28" ht="12.75" customHeight="1" x14ac:dyDescent="0.2">
      <c r="B43" s="23">
        <f t="shared" si="1"/>
        <v>39</v>
      </c>
      <c r="C43" s="23" t="s">
        <v>14</v>
      </c>
      <c r="D43" s="24" t="s">
        <v>71</v>
      </c>
      <c r="E43" s="23" t="s">
        <v>140</v>
      </c>
      <c r="F43" s="23" t="s">
        <v>141</v>
      </c>
      <c r="G43" s="23"/>
      <c r="H43" s="23" t="s">
        <v>124</v>
      </c>
      <c r="I43" s="23">
        <v>38</v>
      </c>
      <c r="J43" s="23"/>
      <c r="K43" s="23"/>
      <c r="L43" s="23"/>
      <c r="M43" s="25">
        <v>15000000</v>
      </c>
      <c r="N43" s="19">
        <f t="shared" si="2"/>
        <v>570000000</v>
      </c>
      <c r="O43" s="27" t="s">
        <v>107</v>
      </c>
    </row>
    <row r="44" spans="1:28" ht="12.75" customHeight="1" x14ac:dyDescent="0.2">
      <c r="B44" s="23">
        <f t="shared" si="1"/>
        <v>40</v>
      </c>
      <c r="C44" s="23" t="s">
        <v>14</v>
      </c>
      <c r="D44" s="24" t="s">
        <v>41</v>
      </c>
      <c r="E44" s="23" t="s">
        <v>140</v>
      </c>
      <c r="F44" s="23" t="s">
        <v>142</v>
      </c>
      <c r="G44" s="23"/>
      <c r="H44" s="23" t="s">
        <v>124</v>
      </c>
      <c r="I44" s="23">
        <v>20</v>
      </c>
      <c r="J44" s="23"/>
      <c r="K44" s="23"/>
      <c r="L44" s="23"/>
      <c r="M44" s="25">
        <v>6000000</v>
      </c>
      <c r="N44" s="19">
        <f t="shared" si="2"/>
        <v>120000000</v>
      </c>
      <c r="O44" s="27" t="s">
        <v>58</v>
      </c>
    </row>
    <row r="45" spans="1:28" ht="12.75" customHeight="1" x14ac:dyDescent="0.2">
      <c r="B45" s="23">
        <f t="shared" si="1"/>
        <v>41</v>
      </c>
      <c r="C45" s="23" t="s">
        <v>14</v>
      </c>
      <c r="D45" s="24" t="s">
        <v>41</v>
      </c>
      <c r="E45" s="23" t="s">
        <v>68</v>
      </c>
      <c r="F45" s="23" t="s">
        <v>143</v>
      </c>
      <c r="G45" s="23"/>
      <c r="H45" s="23" t="s">
        <v>144</v>
      </c>
      <c r="I45" s="23">
        <v>10</v>
      </c>
      <c r="J45" s="23"/>
      <c r="K45" s="23"/>
      <c r="L45" s="23"/>
      <c r="M45" s="25">
        <v>5500000</v>
      </c>
      <c r="N45" s="19">
        <f t="shared" si="2"/>
        <v>55000000</v>
      </c>
      <c r="O45" s="27" t="s">
        <v>107</v>
      </c>
    </row>
    <row r="46" spans="1:28" ht="12.75" customHeight="1" x14ac:dyDescent="0.2">
      <c r="B46" s="23">
        <f t="shared" si="1"/>
        <v>42</v>
      </c>
      <c r="C46" s="23" t="s">
        <v>14</v>
      </c>
      <c r="D46" s="24" t="s">
        <v>71</v>
      </c>
      <c r="E46" s="23" t="s">
        <v>68</v>
      </c>
      <c r="F46" s="23" t="s">
        <v>145</v>
      </c>
      <c r="G46" s="23"/>
      <c r="H46" s="23" t="s">
        <v>146</v>
      </c>
      <c r="I46" s="23">
        <v>25</v>
      </c>
      <c r="J46" s="23"/>
      <c r="K46" s="23"/>
      <c r="L46" s="23"/>
      <c r="M46" s="25">
        <v>4090000</v>
      </c>
      <c r="N46" s="31">
        <f t="shared" si="2"/>
        <v>102250000</v>
      </c>
      <c r="O46" s="27" t="s">
        <v>58</v>
      </c>
    </row>
    <row r="47" spans="1:28" ht="12.75" customHeight="1" x14ac:dyDescent="0.2">
      <c r="A47" s="29"/>
      <c r="B47" s="15">
        <f t="shared" si="1"/>
        <v>43</v>
      </c>
      <c r="C47" s="15" t="s">
        <v>14</v>
      </c>
      <c r="D47" s="16" t="s">
        <v>71</v>
      </c>
      <c r="E47" s="17" t="s">
        <v>16</v>
      </c>
      <c r="F47" s="15" t="s">
        <v>147</v>
      </c>
      <c r="G47" s="15" t="s">
        <v>148</v>
      </c>
      <c r="H47" s="15" t="s">
        <v>124</v>
      </c>
      <c r="I47" s="15">
        <v>10</v>
      </c>
      <c r="J47" s="15"/>
      <c r="K47" s="15"/>
      <c r="L47" s="15"/>
      <c r="M47" s="18">
        <v>43600000</v>
      </c>
      <c r="N47" s="19">
        <f t="shared" si="2"/>
        <v>436000000</v>
      </c>
      <c r="O47" s="20" t="s">
        <v>58</v>
      </c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1:28" ht="12.75" customHeight="1" x14ac:dyDescent="0.2">
      <c r="B48" s="23">
        <f t="shared" si="1"/>
        <v>44</v>
      </c>
      <c r="C48" s="23" t="s">
        <v>14</v>
      </c>
      <c r="D48" s="24" t="s">
        <v>25</v>
      </c>
      <c r="E48" s="23" t="s">
        <v>68</v>
      </c>
      <c r="F48" s="23" t="s">
        <v>149</v>
      </c>
      <c r="G48" s="23"/>
      <c r="H48" s="23" t="s">
        <v>150</v>
      </c>
      <c r="I48" s="23">
        <v>11</v>
      </c>
      <c r="J48" s="23"/>
      <c r="K48" s="23"/>
      <c r="L48" s="23"/>
      <c r="M48" s="25">
        <v>12000000</v>
      </c>
      <c r="N48" s="19">
        <f t="shared" si="2"/>
        <v>132000000</v>
      </c>
      <c r="O48" s="27" t="s">
        <v>83</v>
      </c>
    </row>
    <row r="49" spans="1:15" ht="12.75" customHeight="1" x14ac:dyDescent="0.2">
      <c r="B49" s="23">
        <f t="shared" si="1"/>
        <v>45</v>
      </c>
      <c r="C49" s="23" t="s">
        <v>14</v>
      </c>
      <c r="D49" s="24" t="s">
        <v>15</v>
      </c>
      <c r="E49" s="23" t="s">
        <v>140</v>
      </c>
      <c r="F49" s="23" t="s">
        <v>151</v>
      </c>
      <c r="G49" s="23"/>
      <c r="H49" s="23"/>
      <c r="I49" s="23"/>
      <c r="J49" s="23"/>
      <c r="K49" s="23"/>
      <c r="L49" s="23"/>
      <c r="M49" s="25"/>
      <c r="N49" s="19">
        <f t="shared" si="2"/>
        <v>0</v>
      </c>
      <c r="O49" s="27"/>
    </row>
    <row r="50" spans="1:15" ht="12.75" customHeight="1" x14ac:dyDescent="0.2">
      <c r="B50" s="23">
        <f t="shared" si="1"/>
        <v>46</v>
      </c>
      <c r="C50" s="23" t="s">
        <v>14</v>
      </c>
      <c r="D50" s="24" t="s">
        <v>15</v>
      </c>
      <c r="E50" s="23" t="s">
        <v>140</v>
      </c>
      <c r="F50" s="23" t="s">
        <v>152</v>
      </c>
      <c r="G50" s="23"/>
      <c r="H50" s="23"/>
      <c r="I50" s="23"/>
      <c r="J50" s="23"/>
      <c r="K50" s="23"/>
      <c r="L50" s="23"/>
      <c r="M50" s="25"/>
      <c r="N50" s="19">
        <f t="shared" si="2"/>
        <v>0</v>
      </c>
      <c r="O50" s="27"/>
    </row>
    <row r="51" spans="1:15" ht="12.75" customHeight="1" x14ac:dyDescent="0.2">
      <c r="B51" s="23">
        <f t="shared" si="1"/>
        <v>47</v>
      </c>
      <c r="C51" s="23" t="s">
        <v>14</v>
      </c>
      <c r="D51" s="24" t="s">
        <v>71</v>
      </c>
      <c r="E51" s="23" t="s">
        <v>140</v>
      </c>
      <c r="F51" s="23" t="s">
        <v>153</v>
      </c>
      <c r="G51" s="23"/>
      <c r="H51" s="23"/>
      <c r="I51" s="23">
        <v>15</v>
      </c>
      <c r="J51" s="23"/>
      <c r="K51" s="23"/>
      <c r="L51" s="23"/>
      <c r="M51" s="25">
        <v>2000000</v>
      </c>
      <c r="N51" s="19">
        <f t="shared" si="2"/>
        <v>30000000</v>
      </c>
      <c r="O51" s="27" t="s">
        <v>83</v>
      </c>
    </row>
    <row r="52" spans="1:15" ht="12.75" customHeight="1" x14ac:dyDescent="0.2">
      <c r="A52" s="32" t="s">
        <v>154</v>
      </c>
      <c r="B52" s="23">
        <f t="shared" si="1"/>
        <v>48</v>
      </c>
      <c r="C52" s="23" t="s">
        <v>14</v>
      </c>
      <c r="D52" s="24" t="s">
        <v>25</v>
      </c>
      <c r="E52" s="23" t="s">
        <v>140</v>
      </c>
      <c r="F52" s="23" t="s">
        <v>155</v>
      </c>
      <c r="G52" s="23" t="s">
        <v>156</v>
      </c>
      <c r="H52" s="23" t="s">
        <v>150</v>
      </c>
      <c r="I52" s="23">
        <v>60</v>
      </c>
      <c r="J52" s="23"/>
      <c r="K52" s="23"/>
      <c r="L52" s="23"/>
      <c r="M52" s="25"/>
      <c r="N52" s="19">
        <f t="shared" si="2"/>
        <v>0</v>
      </c>
      <c r="O52" s="27"/>
    </row>
    <row r="53" spans="1:15" ht="12.75" customHeight="1" x14ac:dyDescent="0.2">
      <c r="B53" s="23">
        <f t="shared" si="1"/>
        <v>49</v>
      </c>
      <c r="C53" s="23" t="s">
        <v>14</v>
      </c>
      <c r="D53" s="24" t="s">
        <v>25</v>
      </c>
      <c r="E53" s="23" t="s">
        <v>140</v>
      </c>
      <c r="F53" s="23" t="s">
        <v>157</v>
      </c>
      <c r="G53" s="23"/>
      <c r="H53" s="23" t="s">
        <v>150</v>
      </c>
      <c r="I53" s="23">
        <v>16</v>
      </c>
      <c r="J53" s="23"/>
      <c r="K53" s="23"/>
      <c r="L53" s="23"/>
      <c r="M53" s="25"/>
      <c r="N53" s="19">
        <f t="shared" si="2"/>
        <v>0</v>
      </c>
      <c r="O53" s="27"/>
    </row>
    <row r="54" spans="1:15" ht="12.75" customHeight="1" x14ac:dyDescent="0.2">
      <c r="B54" s="23">
        <f t="shared" si="1"/>
        <v>50</v>
      </c>
      <c r="C54" s="23" t="s">
        <v>90</v>
      </c>
      <c r="D54" s="24" t="s">
        <v>137</v>
      </c>
      <c r="E54" s="23" t="s">
        <v>140</v>
      </c>
      <c r="F54" s="23" t="s">
        <v>158</v>
      </c>
      <c r="G54" s="23" t="s">
        <v>159</v>
      </c>
      <c r="H54" s="23" t="s">
        <v>160</v>
      </c>
      <c r="I54" s="23">
        <v>15</v>
      </c>
      <c r="J54" s="23" t="s">
        <v>161</v>
      </c>
      <c r="K54" s="23"/>
      <c r="L54" s="23"/>
      <c r="M54" s="25">
        <v>12950000</v>
      </c>
      <c r="N54" s="19">
        <f t="shared" si="2"/>
        <v>194250000</v>
      </c>
      <c r="O54" s="27" t="s">
        <v>83</v>
      </c>
    </row>
    <row r="55" spans="1:15" ht="12.75" customHeight="1" x14ac:dyDescent="0.2">
      <c r="B55" s="23">
        <f t="shared" si="1"/>
        <v>51</v>
      </c>
      <c r="C55" s="23" t="s">
        <v>14</v>
      </c>
      <c r="D55" s="24" t="s">
        <v>71</v>
      </c>
      <c r="E55" s="23" t="s">
        <v>140</v>
      </c>
      <c r="F55" s="23" t="s">
        <v>162</v>
      </c>
      <c r="G55" s="23"/>
      <c r="H55" s="23" t="s">
        <v>163</v>
      </c>
      <c r="I55" s="23">
        <v>150</v>
      </c>
      <c r="J55" s="23"/>
      <c r="K55" s="23"/>
      <c r="L55" s="23"/>
      <c r="M55" s="25"/>
      <c r="N55" s="19">
        <f t="shared" si="2"/>
        <v>0</v>
      </c>
      <c r="O55" s="27"/>
    </row>
    <row r="56" spans="1:15" ht="12.75" customHeight="1" x14ac:dyDescent="0.2">
      <c r="B56" s="23">
        <f t="shared" si="1"/>
        <v>52</v>
      </c>
      <c r="C56" s="23" t="s">
        <v>14</v>
      </c>
      <c r="D56" s="24" t="s">
        <v>137</v>
      </c>
      <c r="E56" s="23" t="s">
        <v>140</v>
      </c>
      <c r="F56" s="23" t="s">
        <v>164</v>
      </c>
      <c r="G56" s="23"/>
      <c r="H56" s="23" t="s">
        <v>165</v>
      </c>
      <c r="I56" s="23">
        <v>30</v>
      </c>
      <c r="J56" s="23"/>
      <c r="K56" s="23"/>
      <c r="L56" s="23"/>
      <c r="M56" s="25"/>
      <c r="N56" s="19">
        <f t="shared" si="2"/>
        <v>0</v>
      </c>
      <c r="O56" s="27"/>
    </row>
    <row r="57" spans="1:15" ht="12.75" customHeight="1" x14ac:dyDescent="0.2">
      <c r="B57" s="23">
        <f t="shared" si="1"/>
        <v>53</v>
      </c>
      <c r="C57" s="23" t="s">
        <v>14</v>
      </c>
      <c r="D57" s="24"/>
      <c r="E57" s="23"/>
      <c r="F57" s="23"/>
      <c r="G57" s="23"/>
      <c r="H57" s="23"/>
      <c r="I57" s="23"/>
      <c r="J57" s="23"/>
      <c r="K57" s="23"/>
      <c r="L57" s="23"/>
      <c r="M57" s="25"/>
      <c r="N57" s="23"/>
      <c r="O57" s="27"/>
    </row>
    <row r="58" spans="1:15" ht="12.75" customHeight="1" x14ac:dyDescent="0.2">
      <c r="B58" s="23">
        <f t="shared" si="1"/>
        <v>54</v>
      </c>
      <c r="C58" s="23" t="s">
        <v>14</v>
      </c>
      <c r="D58" s="24"/>
      <c r="E58" s="23"/>
      <c r="F58" s="23"/>
      <c r="G58" s="23"/>
      <c r="H58" s="23"/>
      <c r="I58" s="23"/>
      <c r="J58" s="23"/>
      <c r="K58" s="23"/>
      <c r="L58" s="23"/>
      <c r="M58" s="25"/>
      <c r="N58" s="23"/>
      <c r="O58" s="27"/>
    </row>
    <row r="59" spans="1:15" ht="12.75" customHeight="1" x14ac:dyDescent="0.2">
      <c r="B59" s="23">
        <f t="shared" si="1"/>
        <v>55</v>
      </c>
      <c r="C59" s="23" t="s">
        <v>14</v>
      </c>
      <c r="D59" s="24"/>
      <c r="E59" s="23"/>
      <c r="F59" s="23"/>
      <c r="G59" s="23"/>
      <c r="H59" s="23"/>
      <c r="I59" s="23"/>
      <c r="J59" s="23"/>
      <c r="K59" s="23"/>
      <c r="L59" s="23"/>
      <c r="M59" s="25"/>
      <c r="N59" s="23"/>
      <c r="O59" s="27"/>
    </row>
    <row r="60" spans="1:15" ht="12.75" customHeight="1" x14ac:dyDescent="0.2">
      <c r="B60" s="23">
        <f t="shared" si="1"/>
        <v>56</v>
      </c>
      <c r="C60" s="23" t="s">
        <v>14</v>
      </c>
      <c r="D60" s="24"/>
      <c r="E60" s="23"/>
      <c r="F60" s="23"/>
      <c r="G60" s="23"/>
      <c r="H60" s="23"/>
      <c r="I60" s="23"/>
      <c r="J60" s="23"/>
      <c r="K60" s="23"/>
      <c r="L60" s="23"/>
      <c r="M60" s="25"/>
      <c r="N60" s="23"/>
      <c r="O60" s="27"/>
    </row>
    <row r="61" spans="1:15" ht="12.75" customHeight="1" x14ac:dyDescent="0.2">
      <c r="B61" s="23">
        <f t="shared" si="1"/>
        <v>57</v>
      </c>
      <c r="C61" s="23" t="s">
        <v>14</v>
      </c>
      <c r="D61" s="24"/>
      <c r="E61" s="23"/>
      <c r="F61" s="23"/>
      <c r="G61" s="23"/>
      <c r="H61" s="23"/>
      <c r="I61" s="23"/>
      <c r="J61" s="23"/>
      <c r="K61" s="23"/>
      <c r="L61" s="23"/>
      <c r="M61" s="25"/>
      <c r="N61" s="23"/>
      <c r="O61" s="27"/>
    </row>
    <row r="62" spans="1:15" ht="12.75" customHeight="1" x14ac:dyDescent="0.2">
      <c r="B62" s="23">
        <f t="shared" si="1"/>
        <v>58</v>
      </c>
      <c r="C62" s="23" t="s">
        <v>14</v>
      </c>
      <c r="D62" s="24"/>
      <c r="E62" s="23"/>
      <c r="F62" s="23"/>
      <c r="G62" s="23"/>
      <c r="H62" s="23"/>
      <c r="I62" s="23"/>
      <c r="J62" s="23"/>
      <c r="K62" s="23"/>
      <c r="L62" s="23"/>
      <c r="M62" s="25"/>
      <c r="N62" s="23"/>
      <c r="O62" s="27"/>
    </row>
    <row r="63" spans="1:15" ht="12.75" customHeight="1" x14ac:dyDescent="0.2">
      <c r="B63" s="23">
        <f t="shared" si="1"/>
        <v>59</v>
      </c>
      <c r="C63" s="23" t="s">
        <v>14</v>
      </c>
      <c r="D63" s="24"/>
      <c r="E63" s="23"/>
      <c r="F63" s="23"/>
      <c r="G63" s="23"/>
      <c r="H63" s="23"/>
      <c r="I63" s="23"/>
      <c r="J63" s="23"/>
      <c r="K63" s="23"/>
      <c r="L63" s="23"/>
      <c r="M63" s="25"/>
      <c r="N63" s="23"/>
      <c r="O63" s="27"/>
    </row>
    <row r="64" spans="1:15" ht="12.75" customHeight="1" x14ac:dyDescent="0.2">
      <c r="B64" s="23">
        <f t="shared" si="1"/>
        <v>60</v>
      </c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5"/>
      <c r="N64" s="23"/>
      <c r="O64" s="27"/>
    </row>
    <row r="65" spans="2:15" ht="12.75" customHeight="1" x14ac:dyDescent="0.2">
      <c r="B65" s="23">
        <f t="shared" si="1"/>
        <v>61</v>
      </c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5"/>
      <c r="N65" s="23"/>
      <c r="O65" s="27"/>
    </row>
    <row r="66" spans="2:15" ht="12.75" customHeight="1" x14ac:dyDescent="0.2">
      <c r="B66" s="23">
        <f t="shared" si="1"/>
        <v>62</v>
      </c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5"/>
      <c r="N66" s="23"/>
      <c r="O66" s="27"/>
    </row>
    <row r="67" spans="2:15" ht="12.75" customHeight="1" x14ac:dyDescent="0.2">
      <c r="B67" s="23">
        <f t="shared" si="1"/>
        <v>63</v>
      </c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5"/>
      <c r="N67" s="23"/>
      <c r="O67" s="27"/>
    </row>
    <row r="68" spans="2:15" ht="12.75" customHeight="1" x14ac:dyDescent="0.2">
      <c r="B68" s="23">
        <f t="shared" si="1"/>
        <v>64</v>
      </c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5"/>
      <c r="N68" s="23"/>
      <c r="O68" s="27"/>
    </row>
    <row r="69" spans="2:15" ht="12.75" customHeight="1" x14ac:dyDescent="0.2">
      <c r="B69" s="23">
        <f t="shared" si="1"/>
        <v>65</v>
      </c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5"/>
      <c r="N69" s="23"/>
      <c r="O69" s="27"/>
    </row>
    <row r="70" spans="2:15" ht="12.75" customHeight="1" x14ac:dyDescent="0.2">
      <c r="B70" s="23">
        <f t="shared" si="1"/>
        <v>66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4"/>
      <c r="N70" s="33"/>
      <c r="O70" s="33"/>
    </row>
    <row r="71" spans="2:15" ht="12.75" customHeight="1" x14ac:dyDescent="0.2">
      <c r="B71" s="23">
        <f t="shared" si="1"/>
        <v>67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4"/>
      <c r="N71" s="33"/>
      <c r="O71" s="33"/>
    </row>
    <row r="72" spans="2:15" ht="12.75" customHeight="1" x14ac:dyDescent="0.2">
      <c r="B72" s="23">
        <f t="shared" si="1"/>
        <v>68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4"/>
      <c r="N72" s="33"/>
      <c r="O72" s="33"/>
    </row>
    <row r="73" spans="2:15" ht="12.75" customHeight="1" x14ac:dyDescent="0.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1"/>
      <c r="O73" s="1"/>
    </row>
    <row r="74" spans="2:15" ht="12.75" customHeight="1" x14ac:dyDescent="0.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1"/>
      <c r="O74" s="1"/>
    </row>
    <row r="75" spans="2:15" ht="12.75" customHeight="1" x14ac:dyDescent="0.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1"/>
      <c r="O75" s="1"/>
    </row>
    <row r="76" spans="2:15" ht="12.75" customHeight="1" x14ac:dyDescent="0.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1"/>
      <c r="O76" s="1"/>
    </row>
    <row r="77" spans="2:15" ht="12.75" customHeight="1" x14ac:dyDescent="0.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1"/>
      <c r="O77" s="1"/>
    </row>
    <row r="78" spans="2:15" ht="12.75" customHeight="1" x14ac:dyDescent="0.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1"/>
      <c r="O78" s="1"/>
    </row>
    <row r="79" spans="2:15" ht="12.75" customHeight="1" x14ac:dyDescent="0.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</row>
    <row r="80" spans="2:15" ht="12.75" customHeight="1" x14ac:dyDescent="0.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1"/>
      <c r="O80" s="1"/>
    </row>
    <row r="81" spans="2:15" ht="12.75" customHeight="1" x14ac:dyDescent="0.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1"/>
      <c r="O81" s="1"/>
    </row>
    <row r="82" spans="2:15" ht="12.75" customHeight="1" x14ac:dyDescent="0.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</row>
    <row r="83" spans="2:15" ht="12.75" customHeight="1" x14ac:dyDescent="0.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1"/>
      <c r="O83" s="1"/>
    </row>
    <row r="84" spans="2:15" ht="12.75" customHeight="1" x14ac:dyDescent="0.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</row>
    <row r="85" spans="2:15" ht="12.75" customHeight="1" x14ac:dyDescent="0.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1"/>
      <c r="O85" s="1"/>
    </row>
    <row r="86" spans="2:15" ht="12.75" customHeight="1" x14ac:dyDescent="0.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</row>
    <row r="87" spans="2:15" ht="12.75" customHeight="1" x14ac:dyDescent="0.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</row>
    <row r="88" spans="2:15" ht="12.75" customHeight="1" x14ac:dyDescent="0.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1"/>
      <c r="O88" s="1"/>
    </row>
    <row r="89" spans="2:15" ht="12.75" customHeight="1" x14ac:dyDescent="0.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1"/>
      <c r="O89" s="1"/>
    </row>
    <row r="90" spans="2:15" ht="12.75" customHeight="1" x14ac:dyDescent="0.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1"/>
      <c r="O90" s="1"/>
    </row>
    <row r="91" spans="2:15" ht="12.75" customHeight="1" x14ac:dyDescent="0.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</row>
    <row r="92" spans="2:15" ht="12.75" customHeight="1" x14ac:dyDescent="0.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</row>
    <row r="93" spans="2:15" ht="12.75" customHeight="1" x14ac:dyDescent="0.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1"/>
      <c r="O93" s="1"/>
    </row>
    <row r="94" spans="2:15" ht="12.75" customHeight="1" x14ac:dyDescent="0.1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1"/>
      <c r="O94" s="1"/>
    </row>
    <row r="95" spans="2:15" ht="12.75" customHeight="1" x14ac:dyDescent="0.1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1"/>
      <c r="O95" s="1"/>
    </row>
    <row r="96" spans="2:15" ht="12.75" customHeight="1" x14ac:dyDescent="0.1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1"/>
      <c r="O96" s="1"/>
    </row>
    <row r="97" spans="2:15" ht="12.75" customHeight="1" x14ac:dyDescent="0.1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1"/>
      <c r="O97" s="1"/>
    </row>
    <row r="98" spans="2:15" ht="12.75" customHeight="1" x14ac:dyDescent="0.1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1"/>
      <c r="O98" s="1"/>
    </row>
    <row r="99" spans="2:15" ht="12.75" customHeight="1" x14ac:dyDescent="0.1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</row>
    <row r="100" spans="2:15" ht="12.75" customHeight="1" x14ac:dyDescent="0.1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1"/>
      <c r="O100" s="1"/>
    </row>
    <row r="101" spans="2:15" ht="12.75" customHeight="1" x14ac:dyDescent="0.1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1"/>
      <c r="O101" s="1"/>
    </row>
    <row r="102" spans="2:15" ht="12.75" customHeight="1" x14ac:dyDescent="0.1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1"/>
      <c r="O102" s="1"/>
    </row>
    <row r="103" spans="2:15" ht="12.75" customHeight="1" x14ac:dyDescent="0.1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1"/>
      <c r="O103" s="1"/>
    </row>
    <row r="104" spans="2:15" ht="12.75" customHeight="1" x14ac:dyDescent="0.1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1"/>
      <c r="O104" s="1"/>
    </row>
    <row r="105" spans="2:15" ht="12.75" customHeight="1" x14ac:dyDescent="0.1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1"/>
      <c r="O105" s="1"/>
    </row>
    <row r="106" spans="2:15" ht="12.75" customHeight="1" x14ac:dyDescent="0.1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1"/>
      <c r="O106" s="1"/>
    </row>
    <row r="107" spans="2:15" ht="12.75" customHeight="1" x14ac:dyDescent="0.1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1"/>
      <c r="O107" s="1"/>
    </row>
    <row r="108" spans="2:15" ht="12.75" customHeight="1" x14ac:dyDescent="0.1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1"/>
      <c r="O108" s="1"/>
    </row>
    <row r="109" spans="2:15" ht="12.75" customHeight="1" x14ac:dyDescent="0.1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1"/>
      <c r="O109" s="1"/>
    </row>
    <row r="110" spans="2:15" ht="12.75" customHeight="1" x14ac:dyDescent="0.1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1"/>
      <c r="O110" s="1"/>
    </row>
    <row r="111" spans="2:15" ht="12.75" customHeight="1" x14ac:dyDescent="0.1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1"/>
      <c r="O111" s="1"/>
    </row>
    <row r="112" spans="2:15" ht="12.75" customHeight="1" x14ac:dyDescent="0.1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1"/>
      <c r="O112" s="1"/>
    </row>
    <row r="113" spans="2:15" ht="12.75" customHeight="1" x14ac:dyDescent="0.1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1"/>
      <c r="O113" s="1"/>
    </row>
    <row r="114" spans="2:15" ht="12.75" customHeight="1" x14ac:dyDescent="0.1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1"/>
      <c r="O114" s="1"/>
    </row>
    <row r="115" spans="2:15" ht="12.75" customHeight="1" x14ac:dyDescent="0.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1"/>
      <c r="O115" s="1"/>
    </row>
    <row r="116" spans="2:15" ht="12.75" customHeight="1" x14ac:dyDescent="0.1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1"/>
      <c r="O116" s="1"/>
    </row>
    <row r="117" spans="2:15" ht="12.75" customHeight="1" x14ac:dyDescent="0.1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1"/>
      <c r="O117" s="1"/>
    </row>
    <row r="118" spans="2:15" ht="12.75" customHeight="1" x14ac:dyDescent="0.1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</row>
    <row r="119" spans="2:15" ht="12.75" customHeight="1" x14ac:dyDescent="0.1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</row>
    <row r="120" spans="2:15" ht="12.75" customHeight="1" x14ac:dyDescent="0.1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</row>
    <row r="121" spans="2:15" ht="12.75" customHeight="1" x14ac:dyDescent="0.1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1"/>
      <c r="O121" s="1"/>
    </row>
    <row r="122" spans="2:15" ht="12.75" customHeight="1" x14ac:dyDescent="0.1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1"/>
      <c r="O122" s="1"/>
    </row>
    <row r="123" spans="2:15" ht="12.75" customHeight="1" x14ac:dyDescent="0.1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1"/>
      <c r="O123" s="1"/>
    </row>
    <row r="124" spans="2:15" ht="12.75" customHeight="1" x14ac:dyDescent="0.1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1"/>
      <c r="O124" s="1"/>
    </row>
    <row r="125" spans="2:15" ht="12.75" customHeight="1" x14ac:dyDescent="0.1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1"/>
      <c r="O125" s="1"/>
    </row>
    <row r="126" spans="2:15" ht="12.75" customHeight="1" x14ac:dyDescent="0.1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1"/>
      <c r="O126" s="1"/>
    </row>
    <row r="127" spans="2:15" ht="12.75" customHeight="1" x14ac:dyDescent="0.1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1"/>
      <c r="O127" s="1"/>
    </row>
    <row r="128" spans="2:15" ht="12.75" customHeight="1" x14ac:dyDescent="0.1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1"/>
      <c r="O128" s="1"/>
    </row>
    <row r="129" spans="2:15" ht="12.75" customHeight="1" x14ac:dyDescent="0.1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1"/>
      <c r="O129" s="1"/>
    </row>
    <row r="130" spans="2:15" ht="12.75" customHeight="1" x14ac:dyDescent="0.1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1"/>
      <c r="O130" s="1"/>
    </row>
    <row r="131" spans="2:15" ht="12.75" customHeight="1" x14ac:dyDescent="0.1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1"/>
      <c r="O131" s="1"/>
    </row>
    <row r="132" spans="2:15" ht="12.75" customHeight="1" x14ac:dyDescent="0.1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1"/>
      <c r="O132" s="1"/>
    </row>
    <row r="133" spans="2:15" ht="12.75" customHeight="1" x14ac:dyDescent="0.1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1"/>
      <c r="O133" s="1"/>
    </row>
    <row r="134" spans="2:15" ht="12.75" customHeight="1" x14ac:dyDescent="0.1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1"/>
      <c r="O134" s="1"/>
    </row>
    <row r="135" spans="2:15" ht="12.75" customHeight="1" x14ac:dyDescent="0.1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1"/>
      <c r="O135" s="1"/>
    </row>
    <row r="136" spans="2:15" ht="12.75" customHeight="1" x14ac:dyDescent="0.1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1"/>
      <c r="O136" s="1"/>
    </row>
    <row r="137" spans="2:15" ht="12.75" customHeight="1" x14ac:dyDescent="0.1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1"/>
      <c r="O137" s="1"/>
    </row>
    <row r="138" spans="2:15" ht="12.75" customHeight="1" x14ac:dyDescent="0.1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1"/>
      <c r="O138" s="1"/>
    </row>
    <row r="139" spans="2:15" ht="12.75" customHeight="1" x14ac:dyDescent="0.1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1"/>
      <c r="O139" s="1"/>
    </row>
    <row r="140" spans="2:15" ht="12.75" customHeight="1" x14ac:dyDescent="0.1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1"/>
      <c r="O140" s="1"/>
    </row>
    <row r="141" spans="2:15" ht="12.75" customHeight="1" x14ac:dyDescent="0.1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1"/>
      <c r="O141" s="1"/>
    </row>
    <row r="142" spans="2:15" ht="12.75" customHeight="1" x14ac:dyDescent="0.1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1"/>
      <c r="O142" s="1"/>
    </row>
    <row r="143" spans="2:15" ht="12.75" customHeight="1" x14ac:dyDescent="0.1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1"/>
      <c r="O143" s="1"/>
    </row>
    <row r="144" spans="2:15" ht="12.75" customHeight="1" x14ac:dyDescent="0.1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1"/>
      <c r="O144" s="1"/>
    </row>
    <row r="145" spans="2:15" ht="12.75" customHeight="1" x14ac:dyDescent="0.1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1"/>
      <c r="O145" s="1"/>
    </row>
    <row r="146" spans="2:15" ht="12.75" customHeight="1" x14ac:dyDescent="0.1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1"/>
      <c r="O146" s="1"/>
    </row>
    <row r="147" spans="2:15" ht="12.75" customHeight="1" x14ac:dyDescent="0.1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1"/>
      <c r="O147" s="1"/>
    </row>
    <row r="148" spans="2:15" ht="12.75" customHeight="1" x14ac:dyDescent="0.1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1"/>
      <c r="O148" s="1"/>
    </row>
    <row r="149" spans="2:15" ht="12.75" customHeight="1" x14ac:dyDescent="0.1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1"/>
      <c r="O149" s="1"/>
    </row>
    <row r="150" spans="2:15" ht="12.75" customHeight="1" x14ac:dyDescent="0.1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1"/>
      <c r="O150" s="1"/>
    </row>
    <row r="151" spans="2:15" ht="12.75" customHeight="1" x14ac:dyDescent="0.1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1"/>
      <c r="O151" s="1"/>
    </row>
    <row r="152" spans="2:15" ht="12.75" customHeight="1" x14ac:dyDescent="0.1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1"/>
      <c r="O152" s="1"/>
    </row>
    <row r="153" spans="2:15" ht="12.75" customHeight="1" x14ac:dyDescent="0.1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1"/>
      <c r="O153" s="1"/>
    </row>
    <row r="154" spans="2:15" ht="12.75" customHeight="1" x14ac:dyDescent="0.1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1"/>
      <c r="O154" s="1"/>
    </row>
    <row r="155" spans="2:15" ht="12.75" customHeight="1" x14ac:dyDescent="0.1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1"/>
      <c r="O155" s="1"/>
    </row>
    <row r="156" spans="2:15" ht="12.75" customHeight="1" x14ac:dyDescent="0.1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1"/>
      <c r="O156" s="1"/>
    </row>
    <row r="157" spans="2:15" ht="12.75" customHeight="1" x14ac:dyDescent="0.1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1"/>
      <c r="O157" s="1"/>
    </row>
    <row r="158" spans="2:15" ht="12.75" customHeight="1" x14ac:dyDescent="0.1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1"/>
      <c r="O158" s="1"/>
    </row>
    <row r="159" spans="2:15" ht="12.75" customHeight="1" x14ac:dyDescent="0.1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1"/>
      <c r="O159" s="1"/>
    </row>
    <row r="160" spans="2:15" ht="12.75" customHeight="1" x14ac:dyDescent="0.1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1"/>
      <c r="O160" s="1"/>
    </row>
    <row r="161" spans="2:15" ht="12.75" customHeight="1" x14ac:dyDescent="0.1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1"/>
      <c r="O161" s="1"/>
    </row>
    <row r="162" spans="2:15" ht="12.75" customHeight="1" x14ac:dyDescent="0.1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1"/>
      <c r="O162" s="1"/>
    </row>
    <row r="163" spans="2:15" ht="12.75" customHeight="1" x14ac:dyDescent="0.1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1"/>
      <c r="O163" s="1"/>
    </row>
    <row r="164" spans="2:15" ht="12.75" customHeight="1" x14ac:dyDescent="0.1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1"/>
      <c r="O164" s="1"/>
    </row>
    <row r="165" spans="2:15" ht="12.75" customHeight="1" x14ac:dyDescent="0.1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1"/>
      <c r="O165" s="1"/>
    </row>
    <row r="166" spans="2:15" ht="12.75" customHeight="1" x14ac:dyDescent="0.1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1"/>
      <c r="O166" s="1"/>
    </row>
    <row r="167" spans="2:15" ht="12.75" customHeight="1" x14ac:dyDescent="0.1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1"/>
      <c r="O167" s="1"/>
    </row>
    <row r="168" spans="2:15" ht="12.75" customHeight="1" x14ac:dyDescent="0.1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1"/>
      <c r="O168" s="1"/>
    </row>
    <row r="169" spans="2:15" ht="12.75" customHeight="1" x14ac:dyDescent="0.1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1"/>
      <c r="O169" s="1"/>
    </row>
    <row r="170" spans="2:15" ht="12.75" customHeight="1" x14ac:dyDescent="0.1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1"/>
      <c r="O170" s="1"/>
    </row>
    <row r="171" spans="2:15" ht="12.75" customHeight="1" x14ac:dyDescent="0.1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1"/>
      <c r="O171" s="1"/>
    </row>
    <row r="172" spans="2:15" ht="12.75" customHeight="1" x14ac:dyDescent="0.1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1"/>
      <c r="O172" s="1"/>
    </row>
    <row r="173" spans="2:15" ht="12.75" customHeight="1" x14ac:dyDescent="0.1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1"/>
      <c r="O173" s="1"/>
    </row>
    <row r="174" spans="2:15" ht="12.75" customHeight="1" x14ac:dyDescent="0.1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1"/>
      <c r="O174" s="1"/>
    </row>
    <row r="175" spans="2:15" ht="12.75" customHeight="1" x14ac:dyDescent="0.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1"/>
      <c r="O175" s="1"/>
    </row>
    <row r="176" spans="2:15" ht="12.75" customHeight="1" x14ac:dyDescent="0.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1"/>
      <c r="O176" s="1"/>
    </row>
    <row r="177" spans="2:15" ht="12.75" customHeight="1" x14ac:dyDescent="0.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1"/>
      <c r="O177" s="1"/>
    </row>
    <row r="178" spans="2:15" ht="12.75" customHeight="1" x14ac:dyDescent="0.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1"/>
      <c r="O178" s="1"/>
    </row>
    <row r="179" spans="2:15" ht="12.75" customHeight="1" x14ac:dyDescent="0.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1"/>
      <c r="O179" s="1"/>
    </row>
    <row r="180" spans="2:15" ht="12.75" customHeight="1" x14ac:dyDescent="0.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1"/>
      <c r="O180" s="1"/>
    </row>
    <row r="181" spans="2:15" ht="12.75" customHeight="1" x14ac:dyDescent="0.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1"/>
      <c r="O181" s="1"/>
    </row>
    <row r="182" spans="2:15" ht="12.75" customHeight="1" x14ac:dyDescent="0.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1"/>
      <c r="O182" s="1"/>
    </row>
    <row r="183" spans="2:15" ht="12.75" customHeight="1" x14ac:dyDescent="0.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1"/>
      <c r="O183" s="1"/>
    </row>
    <row r="184" spans="2:15" ht="12.75" customHeight="1" x14ac:dyDescent="0.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1"/>
      <c r="O184" s="1"/>
    </row>
    <row r="185" spans="2:15" ht="12.75" customHeight="1" x14ac:dyDescent="0.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1"/>
      <c r="O185" s="1"/>
    </row>
    <row r="186" spans="2:15" ht="12.75" customHeight="1" x14ac:dyDescent="0.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1"/>
      <c r="O186" s="1"/>
    </row>
    <row r="187" spans="2:15" ht="12.75" customHeight="1" x14ac:dyDescent="0.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1"/>
      <c r="O187" s="1"/>
    </row>
    <row r="188" spans="2:15" ht="12.75" customHeight="1" x14ac:dyDescent="0.1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1"/>
      <c r="O188" s="1"/>
    </row>
    <row r="189" spans="2:15" ht="12.75" customHeight="1" x14ac:dyDescent="0.1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1"/>
      <c r="O189" s="1"/>
    </row>
    <row r="190" spans="2:15" ht="12.75" customHeight="1" x14ac:dyDescent="0.1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1"/>
      <c r="O190" s="1"/>
    </row>
    <row r="191" spans="2:15" ht="12.75" customHeight="1" x14ac:dyDescent="0.1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1"/>
      <c r="O191" s="1"/>
    </row>
    <row r="192" spans="2:15" ht="12.75" customHeight="1" x14ac:dyDescent="0.1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1"/>
      <c r="O192" s="1"/>
    </row>
    <row r="193" spans="2:15" ht="12.75" customHeight="1" x14ac:dyDescent="0.1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1"/>
      <c r="O193" s="1"/>
    </row>
    <row r="194" spans="2:15" ht="12.75" customHeight="1" x14ac:dyDescent="0.1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1"/>
      <c r="O194" s="1"/>
    </row>
    <row r="195" spans="2:15" ht="12.75" customHeight="1" x14ac:dyDescent="0.1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1"/>
      <c r="O195" s="1"/>
    </row>
    <row r="196" spans="2:15" ht="12.75" customHeight="1" x14ac:dyDescent="0.1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1"/>
      <c r="O196" s="1"/>
    </row>
    <row r="197" spans="2:15" ht="12.75" customHeight="1" x14ac:dyDescent="0.1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1"/>
      <c r="O197" s="1"/>
    </row>
    <row r="198" spans="2:15" ht="12.75" customHeight="1" x14ac:dyDescent="0.1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1"/>
      <c r="O198" s="1"/>
    </row>
    <row r="199" spans="2:15" ht="12.75" customHeight="1" x14ac:dyDescent="0.1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1"/>
      <c r="O199" s="1"/>
    </row>
    <row r="200" spans="2:15" ht="12.75" customHeight="1" x14ac:dyDescent="0.1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1"/>
      <c r="O200" s="1"/>
    </row>
    <row r="201" spans="2:15" ht="12.75" customHeight="1" x14ac:dyDescent="0.1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1"/>
      <c r="O201" s="1"/>
    </row>
    <row r="202" spans="2:15" ht="12.75" customHeight="1" x14ac:dyDescent="0.1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1"/>
      <c r="O202" s="1"/>
    </row>
    <row r="203" spans="2:15" ht="12.75" customHeight="1" x14ac:dyDescent="0.1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1"/>
      <c r="O203" s="1"/>
    </row>
    <row r="204" spans="2:15" ht="12.75" customHeight="1" x14ac:dyDescent="0.1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1"/>
      <c r="O204" s="1"/>
    </row>
    <row r="205" spans="2:15" ht="12.75" customHeight="1" x14ac:dyDescent="0.1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1"/>
      <c r="O205" s="1"/>
    </row>
    <row r="206" spans="2:15" ht="12.75" customHeight="1" x14ac:dyDescent="0.1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1"/>
      <c r="O206" s="1"/>
    </row>
    <row r="207" spans="2:15" ht="12.75" customHeight="1" x14ac:dyDescent="0.1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1"/>
      <c r="O207" s="1"/>
    </row>
    <row r="208" spans="2:15" ht="12.75" customHeight="1" x14ac:dyDescent="0.1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1"/>
      <c r="O208" s="1"/>
    </row>
    <row r="209" spans="2:15" ht="12.75" customHeight="1" x14ac:dyDescent="0.1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1"/>
      <c r="O209" s="1"/>
    </row>
    <row r="210" spans="2:15" ht="12.75" customHeight="1" x14ac:dyDescent="0.1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1"/>
      <c r="O210" s="1"/>
    </row>
    <row r="211" spans="2:15" ht="12.75" customHeight="1" x14ac:dyDescent="0.1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1"/>
      <c r="O211" s="1"/>
    </row>
    <row r="212" spans="2:15" ht="12.75" customHeight="1" x14ac:dyDescent="0.1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1"/>
      <c r="O212" s="1"/>
    </row>
    <row r="213" spans="2:15" ht="12.75" customHeight="1" x14ac:dyDescent="0.1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1"/>
      <c r="O213" s="1"/>
    </row>
    <row r="214" spans="2:15" ht="12.75" customHeight="1" x14ac:dyDescent="0.1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1"/>
      <c r="O214" s="1"/>
    </row>
    <row r="215" spans="2:15" ht="12.75" customHeight="1" x14ac:dyDescent="0.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1"/>
      <c r="O215" s="1"/>
    </row>
    <row r="216" spans="2:15" ht="12.75" customHeight="1" x14ac:dyDescent="0.1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1"/>
      <c r="O216" s="1"/>
    </row>
    <row r="217" spans="2:15" ht="12.75" customHeight="1" x14ac:dyDescent="0.1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1"/>
      <c r="O217" s="1"/>
    </row>
    <row r="218" spans="2:15" ht="12.75" customHeight="1" x14ac:dyDescent="0.1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1"/>
      <c r="O218" s="1"/>
    </row>
    <row r="219" spans="2:15" ht="12.75" customHeight="1" x14ac:dyDescent="0.1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1"/>
      <c r="O219" s="1"/>
    </row>
    <row r="220" spans="2:15" ht="12.75" customHeight="1" x14ac:dyDescent="0.1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1"/>
      <c r="O220" s="1"/>
    </row>
    <row r="221" spans="2:15" ht="12.75" customHeight="1" x14ac:dyDescent="0.1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1"/>
      <c r="O221" s="1"/>
    </row>
    <row r="222" spans="2:15" ht="12.75" customHeight="1" x14ac:dyDescent="0.1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1"/>
      <c r="O222" s="1"/>
    </row>
    <row r="223" spans="2:15" ht="12.75" customHeight="1" x14ac:dyDescent="0.1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1"/>
      <c r="O223" s="1"/>
    </row>
    <row r="224" spans="2:15" ht="12.75" customHeight="1" x14ac:dyDescent="0.1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1"/>
      <c r="O224" s="1"/>
    </row>
    <row r="225" spans="2:15" ht="12.75" customHeight="1" x14ac:dyDescent="0.1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1"/>
      <c r="O225" s="1"/>
    </row>
    <row r="226" spans="2:15" ht="12.75" customHeight="1" x14ac:dyDescent="0.1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1"/>
      <c r="O226" s="1"/>
    </row>
    <row r="227" spans="2:15" ht="12.75" customHeight="1" x14ac:dyDescent="0.1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1"/>
      <c r="O227" s="1"/>
    </row>
    <row r="228" spans="2:15" ht="12.75" customHeight="1" x14ac:dyDescent="0.1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1"/>
      <c r="O228" s="1"/>
    </row>
    <row r="229" spans="2:15" ht="12.75" customHeight="1" x14ac:dyDescent="0.1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1"/>
      <c r="O229" s="1"/>
    </row>
    <row r="230" spans="2:15" ht="12.75" customHeight="1" x14ac:dyDescent="0.1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1"/>
      <c r="O230" s="1"/>
    </row>
    <row r="231" spans="2:15" ht="12.75" customHeight="1" x14ac:dyDescent="0.1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1"/>
      <c r="O231" s="1"/>
    </row>
    <row r="232" spans="2:15" ht="12.75" customHeight="1" x14ac:dyDescent="0.1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1"/>
      <c r="O232" s="1"/>
    </row>
    <row r="233" spans="2:15" ht="12.75" customHeight="1" x14ac:dyDescent="0.1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1"/>
      <c r="O233" s="1"/>
    </row>
    <row r="234" spans="2:15" ht="12.75" customHeight="1" x14ac:dyDescent="0.1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1"/>
      <c r="O234" s="1"/>
    </row>
    <row r="235" spans="2:15" ht="12.75" customHeight="1" x14ac:dyDescent="0.1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1"/>
      <c r="O235" s="1"/>
    </row>
    <row r="236" spans="2:15" ht="12.75" customHeight="1" x14ac:dyDescent="0.1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1"/>
      <c r="O236" s="1"/>
    </row>
    <row r="237" spans="2:15" ht="12.75" customHeight="1" x14ac:dyDescent="0.1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1"/>
      <c r="O237" s="1"/>
    </row>
    <row r="238" spans="2:15" ht="12.75" customHeight="1" x14ac:dyDescent="0.1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1"/>
      <c r="O238" s="1"/>
    </row>
    <row r="239" spans="2:15" ht="12.75" customHeight="1" x14ac:dyDescent="0.1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1"/>
      <c r="O239" s="1"/>
    </row>
    <row r="240" spans="2:15" ht="12.75" customHeight="1" x14ac:dyDescent="0.1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1"/>
      <c r="O240" s="1"/>
    </row>
    <row r="241" spans="2:15" ht="12.75" customHeight="1" x14ac:dyDescent="0.1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1"/>
      <c r="O241" s="1"/>
    </row>
    <row r="242" spans="2:15" ht="12.75" customHeight="1" x14ac:dyDescent="0.1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1"/>
      <c r="O242" s="1"/>
    </row>
    <row r="243" spans="2:15" ht="12.75" customHeight="1" x14ac:dyDescent="0.1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1"/>
      <c r="O243" s="1"/>
    </row>
    <row r="244" spans="2:15" ht="12.75" customHeight="1" x14ac:dyDescent="0.1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1"/>
      <c r="O244" s="1"/>
    </row>
    <row r="245" spans="2:15" ht="12.75" customHeight="1" x14ac:dyDescent="0.1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1"/>
      <c r="O245" s="1"/>
    </row>
    <row r="246" spans="2:15" ht="12.75" customHeight="1" x14ac:dyDescent="0.1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1"/>
      <c r="O246" s="1"/>
    </row>
    <row r="247" spans="2:15" ht="12.75" customHeight="1" x14ac:dyDescent="0.1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1"/>
      <c r="O247" s="1"/>
    </row>
    <row r="248" spans="2:15" ht="12.75" customHeight="1" x14ac:dyDescent="0.1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1"/>
      <c r="O248" s="1"/>
    </row>
    <row r="249" spans="2:15" ht="12.75" customHeight="1" x14ac:dyDescent="0.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1"/>
      <c r="O249" s="1"/>
    </row>
    <row r="250" spans="2:15" ht="12.75" customHeight="1" x14ac:dyDescent="0.1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1"/>
      <c r="O250" s="1"/>
    </row>
    <row r="251" spans="2:15" ht="12.75" customHeight="1" x14ac:dyDescent="0.1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1"/>
      <c r="O251" s="1"/>
    </row>
    <row r="252" spans="2:15" ht="12.75" customHeight="1" x14ac:dyDescent="0.1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1"/>
      <c r="O252" s="1"/>
    </row>
    <row r="253" spans="2:15" ht="12.75" customHeight="1" x14ac:dyDescent="0.1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1"/>
      <c r="O253" s="1"/>
    </row>
    <row r="254" spans="2:15" ht="12.75" customHeight="1" x14ac:dyDescent="0.1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1"/>
      <c r="O254" s="1"/>
    </row>
    <row r="255" spans="2:15" ht="12.75" customHeight="1" x14ac:dyDescent="0.1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1"/>
      <c r="O255" s="1"/>
    </row>
    <row r="256" spans="2:15" ht="12.75" customHeight="1" x14ac:dyDescent="0.1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1"/>
      <c r="O256" s="1"/>
    </row>
    <row r="257" spans="2:15" ht="12.75" customHeight="1" x14ac:dyDescent="0.1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1"/>
      <c r="O257" s="1"/>
    </row>
    <row r="258" spans="2:15" ht="12.75" customHeight="1" x14ac:dyDescent="0.1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1"/>
      <c r="O258" s="1"/>
    </row>
    <row r="259" spans="2:15" ht="12.75" customHeight="1" x14ac:dyDescent="0.1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1"/>
      <c r="O259" s="1"/>
    </row>
    <row r="260" spans="2:15" ht="12.75" customHeight="1" x14ac:dyDescent="0.1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1"/>
      <c r="O260" s="1"/>
    </row>
    <row r="261" spans="2:15" ht="12.75" customHeight="1" x14ac:dyDescent="0.1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1"/>
      <c r="O261" s="1"/>
    </row>
    <row r="262" spans="2:15" ht="12.75" customHeight="1" x14ac:dyDescent="0.1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1"/>
      <c r="O262" s="1"/>
    </row>
    <row r="263" spans="2:15" ht="12.75" customHeight="1" x14ac:dyDescent="0.1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1"/>
      <c r="O263" s="1"/>
    </row>
    <row r="264" spans="2:15" ht="12.75" customHeight="1" x14ac:dyDescent="0.1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1"/>
      <c r="O264" s="1"/>
    </row>
    <row r="265" spans="2:15" ht="12.75" customHeight="1" x14ac:dyDescent="0.1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1"/>
      <c r="O265" s="1"/>
    </row>
    <row r="266" spans="2:15" ht="12.75" customHeight="1" x14ac:dyDescent="0.1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1"/>
      <c r="O266" s="1"/>
    </row>
    <row r="267" spans="2:15" ht="12.75" customHeight="1" x14ac:dyDescent="0.1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1"/>
      <c r="O267" s="1"/>
    </row>
    <row r="268" spans="2:15" ht="12.75" customHeight="1" x14ac:dyDescent="0.1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1"/>
      <c r="O268" s="1"/>
    </row>
    <row r="269" spans="2:15" ht="12.75" customHeight="1" x14ac:dyDescent="0.1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1"/>
      <c r="O269" s="1"/>
    </row>
    <row r="270" spans="2:15" ht="12.75" customHeight="1" x14ac:dyDescent="0.1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1"/>
      <c r="O270" s="1"/>
    </row>
    <row r="271" spans="2:15" ht="12.75" customHeight="1" x14ac:dyDescent="0.1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1"/>
      <c r="O271" s="1"/>
    </row>
    <row r="272" spans="2:15" ht="12.75" customHeight="1" x14ac:dyDescent="0.1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1"/>
      <c r="O272" s="1"/>
    </row>
    <row r="273" spans="2:15" ht="12.75" customHeight="1" x14ac:dyDescent="0.1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1"/>
      <c r="O273" s="1"/>
    </row>
    <row r="274" spans="2:15" ht="12.75" customHeight="1" x14ac:dyDescent="0.1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1"/>
      <c r="O274" s="1"/>
    </row>
    <row r="275" spans="2:15" ht="12.75" customHeight="1" x14ac:dyDescent="0.1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1"/>
      <c r="O275" s="1"/>
    </row>
    <row r="276" spans="2:15" ht="12.75" customHeight="1" x14ac:dyDescent="0.1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1"/>
      <c r="O276" s="1"/>
    </row>
    <row r="277" spans="2:15" ht="12.75" customHeight="1" x14ac:dyDescent="0.1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1"/>
      <c r="O277" s="1"/>
    </row>
    <row r="278" spans="2:15" ht="12.75" customHeight="1" x14ac:dyDescent="0.1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1"/>
      <c r="O278" s="1"/>
    </row>
    <row r="279" spans="2:15" ht="12.75" customHeight="1" x14ac:dyDescent="0.1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1"/>
      <c r="O279" s="1"/>
    </row>
    <row r="280" spans="2:15" ht="12.75" customHeight="1" x14ac:dyDescent="0.1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1"/>
      <c r="O280" s="1"/>
    </row>
    <row r="281" spans="2:15" ht="12.75" customHeight="1" x14ac:dyDescent="0.1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1"/>
      <c r="O281" s="1"/>
    </row>
    <row r="282" spans="2:15" ht="12.75" customHeight="1" x14ac:dyDescent="0.1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1"/>
      <c r="O282" s="1"/>
    </row>
    <row r="283" spans="2:15" ht="12.75" customHeight="1" x14ac:dyDescent="0.1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1"/>
      <c r="O283" s="1"/>
    </row>
    <row r="284" spans="2:15" ht="12.75" customHeight="1" x14ac:dyDescent="0.1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1"/>
      <c r="O284" s="1"/>
    </row>
    <row r="285" spans="2:15" ht="12.75" customHeight="1" x14ac:dyDescent="0.1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1"/>
      <c r="O285" s="1"/>
    </row>
    <row r="286" spans="2:15" ht="12.75" customHeight="1" x14ac:dyDescent="0.1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1"/>
      <c r="O286" s="1"/>
    </row>
    <row r="287" spans="2:15" ht="12.75" customHeight="1" x14ac:dyDescent="0.1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1"/>
      <c r="O287" s="1"/>
    </row>
    <row r="288" spans="2:15" ht="12.75" customHeight="1" x14ac:dyDescent="0.1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1"/>
      <c r="O288" s="1"/>
    </row>
    <row r="289" spans="2:15" ht="12.75" customHeight="1" x14ac:dyDescent="0.1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1"/>
      <c r="O289" s="1"/>
    </row>
    <row r="290" spans="2:15" ht="12.75" customHeight="1" x14ac:dyDescent="0.1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1"/>
      <c r="O290" s="1"/>
    </row>
    <row r="291" spans="2:15" ht="12.75" customHeight="1" x14ac:dyDescent="0.1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1"/>
      <c r="O291" s="1"/>
    </row>
    <row r="292" spans="2:15" ht="12.75" customHeight="1" x14ac:dyDescent="0.1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1"/>
      <c r="O292" s="1"/>
    </row>
    <row r="293" spans="2:15" ht="12.75" customHeight="1" x14ac:dyDescent="0.1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1"/>
      <c r="O293" s="1"/>
    </row>
    <row r="294" spans="2:15" ht="12.75" customHeight="1" x14ac:dyDescent="0.1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1"/>
      <c r="O294" s="1"/>
    </row>
    <row r="295" spans="2:15" ht="12.75" customHeight="1" x14ac:dyDescent="0.1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1"/>
      <c r="O295" s="1"/>
    </row>
    <row r="296" spans="2:15" ht="12.75" customHeight="1" x14ac:dyDescent="0.1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1"/>
      <c r="O296" s="1"/>
    </row>
    <row r="297" spans="2:15" ht="12.75" customHeight="1" x14ac:dyDescent="0.1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1"/>
      <c r="O297" s="1"/>
    </row>
    <row r="298" spans="2:15" ht="12.75" customHeight="1" x14ac:dyDescent="0.1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1"/>
      <c r="O298" s="1"/>
    </row>
    <row r="299" spans="2:15" ht="12.75" customHeight="1" x14ac:dyDescent="0.1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1"/>
      <c r="O299" s="1"/>
    </row>
    <row r="300" spans="2:15" ht="12.75" customHeight="1" x14ac:dyDescent="0.1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1"/>
      <c r="O300" s="1"/>
    </row>
    <row r="301" spans="2:15" ht="12.75" customHeight="1" x14ac:dyDescent="0.1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1"/>
      <c r="O301" s="1"/>
    </row>
    <row r="302" spans="2:15" ht="12.75" customHeight="1" x14ac:dyDescent="0.1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1"/>
      <c r="O302" s="1"/>
    </row>
    <row r="303" spans="2:15" ht="12.75" customHeight="1" x14ac:dyDescent="0.1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1"/>
      <c r="O303" s="1"/>
    </row>
    <row r="304" spans="2:15" ht="12.75" customHeight="1" x14ac:dyDescent="0.1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1"/>
      <c r="O304" s="1"/>
    </row>
    <row r="305" spans="2:15" ht="12.75" customHeight="1" x14ac:dyDescent="0.1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1"/>
      <c r="O305" s="1"/>
    </row>
    <row r="306" spans="2:15" ht="12.75" customHeight="1" x14ac:dyDescent="0.1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1"/>
      <c r="O306" s="1"/>
    </row>
    <row r="307" spans="2:15" ht="12.75" customHeight="1" x14ac:dyDescent="0.1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1"/>
      <c r="O307" s="1"/>
    </row>
    <row r="308" spans="2:15" ht="12.75" customHeight="1" x14ac:dyDescent="0.1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1"/>
      <c r="O308" s="1"/>
    </row>
    <row r="309" spans="2:15" ht="12.75" customHeight="1" x14ac:dyDescent="0.1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1"/>
      <c r="O309" s="1"/>
    </row>
    <row r="310" spans="2:15" ht="12.75" customHeight="1" x14ac:dyDescent="0.1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1"/>
      <c r="O310" s="1"/>
    </row>
    <row r="311" spans="2:15" ht="12.75" customHeight="1" x14ac:dyDescent="0.1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1"/>
      <c r="O311" s="1"/>
    </row>
    <row r="312" spans="2:15" ht="12.75" customHeight="1" x14ac:dyDescent="0.1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1"/>
      <c r="O312" s="1"/>
    </row>
    <row r="313" spans="2:15" ht="12.75" customHeight="1" x14ac:dyDescent="0.1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1"/>
      <c r="O313" s="1"/>
    </row>
    <row r="314" spans="2:15" ht="12.75" customHeight="1" x14ac:dyDescent="0.1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1"/>
      <c r="O314" s="1"/>
    </row>
    <row r="315" spans="2:15" ht="12.75" customHeight="1" x14ac:dyDescent="0.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1"/>
      <c r="O315" s="1"/>
    </row>
    <row r="316" spans="2:15" ht="12.75" customHeight="1" x14ac:dyDescent="0.1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1"/>
      <c r="O316" s="1"/>
    </row>
    <row r="317" spans="2:15" ht="12.75" customHeight="1" x14ac:dyDescent="0.1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1"/>
      <c r="O317" s="1"/>
    </row>
    <row r="318" spans="2:15" ht="12.75" customHeight="1" x14ac:dyDescent="0.1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1"/>
      <c r="O318" s="1"/>
    </row>
    <row r="319" spans="2:15" ht="12.75" customHeight="1" x14ac:dyDescent="0.1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1"/>
      <c r="O319" s="1"/>
    </row>
    <row r="320" spans="2:15" ht="12.75" customHeight="1" x14ac:dyDescent="0.1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1"/>
      <c r="O320" s="1"/>
    </row>
    <row r="321" spans="2:15" ht="12.75" customHeight="1" x14ac:dyDescent="0.1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1"/>
      <c r="O321" s="1"/>
    </row>
    <row r="322" spans="2:15" ht="12.75" customHeight="1" x14ac:dyDescent="0.1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1"/>
      <c r="O322" s="1"/>
    </row>
    <row r="323" spans="2:15" ht="12.75" customHeight="1" x14ac:dyDescent="0.1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1"/>
      <c r="O323" s="1"/>
    </row>
    <row r="324" spans="2:15" ht="12.75" customHeight="1" x14ac:dyDescent="0.1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1"/>
      <c r="O324" s="1"/>
    </row>
    <row r="325" spans="2:15" ht="12.75" customHeight="1" x14ac:dyDescent="0.1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1"/>
      <c r="O325" s="1"/>
    </row>
    <row r="326" spans="2:15" ht="12.75" customHeight="1" x14ac:dyDescent="0.1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1"/>
      <c r="O326" s="1"/>
    </row>
    <row r="327" spans="2:15" ht="12.75" customHeight="1" x14ac:dyDescent="0.1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1"/>
      <c r="O327" s="1"/>
    </row>
    <row r="328" spans="2:15" ht="12.75" customHeight="1" x14ac:dyDescent="0.1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1"/>
      <c r="O328" s="1"/>
    </row>
    <row r="329" spans="2:15" ht="12.75" customHeight="1" x14ac:dyDescent="0.1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1"/>
      <c r="O329" s="1"/>
    </row>
    <row r="330" spans="2:15" ht="12.75" customHeight="1" x14ac:dyDescent="0.1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1"/>
      <c r="O330" s="1"/>
    </row>
    <row r="331" spans="2:15" ht="12.75" customHeight="1" x14ac:dyDescent="0.1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1"/>
      <c r="O331" s="1"/>
    </row>
    <row r="332" spans="2:15" ht="12.75" customHeight="1" x14ac:dyDescent="0.1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1"/>
      <c r="O332" s="1"/>
    </row>
    <row r="333" spans="2:15" ht="12.75" customHeight="1" x14ac:dyDescent="0.1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1"/>
      <c r="O333" s="1"/>
    </row>
    <row r="334" spans="2:15" ht="12.75" customHeight="1" x14ac:dyDescent="0.1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1"/>
      <c r="O334" s="1"/>
    </row>
    <row r="335" spans="2:15" ht="12.75" customHeight="1" x14ac:dyDescent="0.1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1"/>
      <c r="O335" s="1"/>
    </row>
    <row r="336" spans="2:15" ht="12.75" customHeight="1" x14ac:dyDescent="0.1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1"/>
      <c r="O336" s="1"/>
    </row>
    <row r="337" spans="2:15" ht="12.75" customHeight="1" x14ac:dyDescent="0.1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1"/>
      <c r="O337" s="1"/>
    </row>
    <row r="338" spans="2:15" ht="12.75" customHeight="1" x14ac:dyDescent="0.1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1"/>
      <c r="O338" s="1"/>
    </row>
    <row r="339" spans="2:15" ht="12.75" customHeight="1" x14ac:dyDescent="0.1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1"/>
      <c r="O339" s="1"/>
    </row>
    <row r="340" spans="2:15" ht="12.75" customHeight="1" x14ac:dyDescent="0.1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1"/>
      <c r="O340" s="1"/>
    </row>
    <row r="341" spans="2:15" ht="12.75" customHeight="1" x14ac:dyDescent="0.1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1"/>
      <c r="O341" s="1"/>
    </row>
    <row r="342" spans="2:15" ht="12.75" customHeight="1" x14ac:dyDescent="0.1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1"/>
      <c r="O342" s="1"/>
    </row>
    <row r="343" spans="2:15" ht="12.75" customHeight="1" x14ac:dyDescent="0.1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1"/>
      <c r="O343" s="1"/>
    </row>
    <row r="344" spans="2:15" ht="12.75" customHeight="1" x14ac:dyDescent="0.1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1"/>
      <c r="O344" s="1"/>
    </row>
    <row r="345" spans="2:15" ht="12.75" customHeight="1" x14ac:dyDescent="0.1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1"/>
      <c r="O345" s="1"/>
    </row>
    <row r="346" spans="2:15" ht="12.75" customHeight="1" x14ac:dyDescent="0.1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1"/>
      <c r="O346" s="1"/>
    </row>
    <row r="347" spans="2:15" ht="12.75" customHeight="1" x14ac:dyDescent="0.1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1"/>
      <c r="O347" s="1"/>
    </row>
    <row r="348" spans="2:15" ht="12.75" customHeight="1" x14ac:dyDescent="0.1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1"/>
      <c r="O348" s="1"/>
    </row>
    <row r="349" spans="2:15" ht="12.75" customHeight="1" x14ac:dyDescent="0.1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1"/>
      <c r="O349" s="1"/>
    </row>
    <row r="350" spans="2:15" ht="12.75" customHeight="1" x14ac:dyDescent="0.1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1"/>
      <c r="O350" s="1"/>
    </row>
    <row r="351" spans="2:15" ht="12.75" customHeight="1" x14ac:dyDescent="0.1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1"/>
      <c r="O351" s="1"/>
    </row>
    <row r="352" spans="2:15" ht="12.75" customHeight="1" x14ac:dyDescent="0.1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1"/>
      <c r="O352" s="1"/>
    </row>
    <row r="353" spans="2:15" ht="12.75" customHeight="1" x14ac:dyDescent="0.1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1"/>
      <c r="O353" s="1"/>
    </row>
    <row r="354" spans="2:15" ht="12.75" customHeight="1" x14ac:dyDescent="0.1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1"/>
      <c r="O354" s="1"/>
    </row>
    <row r="355" spans="2:15" ht="12.75" customHeight="1" x14ac:dyDescent="0.1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1"/>
      <c r="O355" s="1"/>
    </row>
    <row r="356" spans="2:15" ht="12.75" customHeight="1" x14ac:dyDescent="0.1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1"/>
      <c r="O356" s="1"/>
    </row>
    <row r="357" spans="2:15" ht="12.75" customHeight="1" x14ac:dyDescent="0.1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1"/>
      <c r="O357" s="1"/>
    </row>
    <row r="358" spans="2:15" ht="12.75" customHeight="1" x14ac:dyDescent="0.1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1"/>
      <c r="O358" s="1"/>
    </row>
    <row r="359" spans="2:15" ht="12.75" customHeight="1" x14ac:dyDescent="0.1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1"/>
      <c r="O359" s="1"/>
    </row>
    <row r="360" spans="2:15" ht="12.75" customHeight="1" x14ac:dyDescent="0.1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1"/>
      <c r="O360" s="1"/>
    </row>
    <row r="361" spans="2:15" ht="12.75" customHeight="1" x14ac:dyDescent="0.1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1"/>
      <c r="O361" s="1"/>
    </row>
    <row r="362" spans="2:15" ht="12.75" customHeight="1" x14ac:dyDescent="0.1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1"/>
      <c r="O362" s="1"/>
    </row>
    <row r="363" spans="2:15" ht="12.75" customHeight="1" x14ac:dyDescent="0.1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1"/>
      <c r="O363" s="1"/>
    </row>
    <row r="364" spans="2:15" ht="12.75" customHeight="1" x14ac:dyDescent="0.1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1"/>
      <c r="O364" s="1"/>
    </row>
    <row r="365" spans="2:15" ht="12.75" customHeight="1" x14ac:dyDescent="0.1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1"/>
      <c r="O365" s="1"/>
    </row>
    <row r="366" spans="2:15" ht="12.75" customHeight="1" x14ac:dyDescent="0.1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1"/>
      <c r="O366" s="1"/>
    </row>
    <row r="367" spans="2:15" ht="12.75" customHeight="1" x14ac:dyDescent="0.1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1"/>
      <c r="O367" s="1"/>
    </row>
    <row r="368" spans="2:15" ht="12.75" customHeight="1" x14ac:dyDescent="0.1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1"/>
      <c r="O368" s="1"/>
    </row>
    <row r="369" spans="2:15" ht="12.75" customHeight="1" x14ac:dyDescent="0.1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1"/>
      <c r="O369" s="1"/>
    </row>
    <row r="370" spans="2:15" ht="12.75" customHeight="1" x14ac:dyDescent="0.1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1"/>
      <c r="O370" s="1"/>
    </row>
    <row r="371" spans="2:15" ht="12.75" customHeight="1" x14ac:dyDescent="0.1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1"/>
      <c r="O371" s="1"/>
    </row>
    <row r="372" spans="2:15" ht="12.75" customHeight="1" x14ac:dyDescent="0.1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1"/>
      <c r="O372" s="1"/>
    </row>
    <row r="373" spans="2:15" ht="12.75" customHeight="1" x14ac:dyDescent="0.1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1"/>
      <c r="O373" s="1"/>
    </row>
    <row r="374" spans="2:15" ht="12.75" customHeight="1" x14ac:dyDescent="0.1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1"/>
      <c r="O374" s="1"/>
    </row>
    <row r="375" spans="2:15" ht="12.75" customHeight="1" x14ac:dyDescent="0.1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1"/>
      <c r="O375" s="1"/>
    </row>
    <row r="376" spans="2:15" ht="12.75" customHeight="1" x14ac:dyDescent="0.1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1"/>
      <c r="O376" s="1"/>
    </row>
    <row r="377" spans="2:15" ht="12.75" customHeight="1" x14ac:dyDescent="0.1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1"/>
      <c r="O377" s="1"/>
    </row>
    <row r="378" spans="2:15" ht="12.75" customHeight="1" x14ac:dyDescent="0.1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1"/>
      <c r="O378" s="1"/>
    </row>
    <row r="379" spans="2:15" ht="12.75" customHeight="1" x14ac:dyDescent="0.1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1"/>
      <c r="O379" s="1"/>
    </row>
    <row r="380" spans="2:15" ht="12.75" customHeight="1" x14ac:dyDescent="0.1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1"/>
      <c r="O380" s="1"/>
    </row>
    <row r="381" spans="2:15" ht="12.75" customHeight="1" x14ac:dyDescent="0.1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1"/>
      <c r="O381" s="1"/>
    </row>
    <row r="382" spans="2:15" ht="12.75" customHeight="1" x14ac:dyDescent="0.1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1"/>
      <c r="O382" s="1"/>
    </row>
    <row r="383" spans="2:15" ht="12.75" customHeight="1" x14ac:dyDescent="0.1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1"/>
      <c r="O383" s="1"/>
    </row>
    <row r="384" spans="2:15" ht="12.75" customHeight="1" x14ac:dyDescent="0.1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1"/>
      <c r="O384" s="1"/>
    </row>
    <row r="385" spans="2:15" ht="12.75" customHeight="1" x14ac:dyDescent="0.1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1"/>
      <c r="O385" s="1"/>
    </row>
    <row r="386" spans="2:15" ht="12.75" customHeight="1" x14ac:dyDescent="0.1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1"/>
      <c r="O386" s="1"/>
    </row>
    <row r="387" spans="2:15" ht="12.75" customHeight="1" x14ac:dyDescent="0.1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1"/>
      <c r="O387" s="1"/>
    </row>
    <row r="388" spans="2:15" ht="12.75" customHeight="1" x14ac:dyDescent="0.1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1"/>
      <c r="O388" s="1"/>
    </row>
    <row r="389" spans="2:15" ht="12.75" customHeight="1" x14ac:dyDescent="0.1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1"/>
      <c r="O389" s="1"/>
    </row>
    <row r="390" spans="2:15" ht="12.75" customHeight="1" x14ac:dyDescent="0.1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1"/>
      <c r="O390" s="1"/>
    </row>
    <row r="391" spans="2:15" ht="12.75" customHeight="1" x14ac:dyDescent="0.1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1"/>
      <c r="O391" s="1"/>
    </row>
    <row r="392" spans="2:15" ht="12.75" customHeight="1" x14ac:dyDescent="0.1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1"/>
      <c r="O392" s="1"/>
    </row>
    <row r="393" spans="2:15" ht="12.75" customHeight="1" x14ac:dyDescent="0.1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1"/>
      <c r="O393" s="1"/>
    </row>
    <row r="394" spans="2:15" ht="12.75" customHeight="1" x14ac:dyDescent="0.1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1"/>
      <c r="O394" s="1"/>
    </row>
    <row r="395" spans="2:15" ht="12.75" customHeight="1" x14ac:dyDescent="0.1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1"/>
      <c r="O395" s="1"/>
    </row>
    <row r="396" spans="2:15" ht="12.75" customHeight="1" x14ac:dyDescent="0.1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1"/>
      <c r="O396" s="1"/>
    </row>
    <row r="397" spans="2:15" ht="12.75" customHeight="1" x14ac:dyDescent="0.1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1"/>
      <c r="O397" s="1"/>
    </row>
    <row r="398" spans="2:15" ht="12.75" customHeight="1" x14ac:dyDescent="0.1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1"/>
      <c r="O398" s="1"/>
    </row>
    <row r="399" spans="2:15" ht="12.75" customHeight="1" x14ac:dyDescent="0.1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1"/>
      <c r="O399" s="1"/>
    </row>
    <row r="400" spans="2:15" ht="12.75" customHeight="1" x14ac:dyDescent="0.1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1"/>
      <c r="O400" s="1"/>
    </row>
    <row r="401" spans="2:15" ht="12.75" customHeight="1" x14ac:dyDescent="0.1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1"/>
      <c r="O401" s="1"/>
    </row>
    <row r="402" spans="2:15" ht="12.75" customHeight="1" x14ac:dyDescent="0.1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1"/>
      <c r="O402" s="1"/>
    </row>
    <row r="403" spans="2:15" ht="12.75" customHeight="1" x14ac:dyDescent="0.1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1"/>
      <c r="O403" s="1"/>
    </row>
    <row r="404" spans="2:15" ht="12.75" customHeight="1" x14ac:dyDescent="0.1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1"/>
      <c r="O404" s="1"/>
    </row>
    <row r="405" spans="2:15" ht="12.75" customHeight="1" x14ac:dyDescent="0.1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1"/>
      <c r="O405" s="1"/>
    </row>
    <row r="406" spans="2:15" ht="12.75" customHeight="1" x14ac:dyDescent="0.1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1"/>
      <c r="O406" s="1"/>
    </row>
    <row r="407" spans="2:15" ht="12.75" customHeight="1" x14ac:dyDescent="0.1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1"/>
      <c r="O407" s="1"/>
    </row>
    <row r="408" spans="2:15" ht="12.75" customHeight="1" x14ac:dyDescent="0.1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1"/>
      <c r="O408" s="1"/>
    </row>
    <row r="409" spans="2:15" ht="12.75" customHeight="1" x14ac:dyDescent="0.1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1"/>
      <c r="O409" s="1"/>
    </row>
    <row r="410" spans="2:15" ht="12.75" customHeight="1" x14ac:dyDescent="0.1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1"/>
      <c r="O410" s="1"/>
    </row>
    <row r="411" spans="2:15" ht="12.75" customHeight="1" x14ac:dyDescent="0.1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1"/>
      <c r="O411" s="1"/>
    </row>
    <row r="412" spans="2:15" ht="12.75" customHeight="1" x14ac:dyDescent="0.1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1"/>
      <c r="O412" s="1"/>
    </row>
    <row r="413" spans="2:15" ht="12.75" customHeight="1" x14ac:dyDescent="0.1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1"/>
      <c r="O413" s="1"/>
    </row>
    <row r="414" spans="2:15" ht="12.75" customHeight="1" x14ac:dyDescent="0.1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1"/>
      <c r="O414" s="1"/>
    </row>
    <row r="415" spans="2:15" ht="12.75" customHeight="1" x14ac:dyDescent="0.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1"/>
      <c r="O415" s="1"/>
    </row>
    <row r="416" spans="2:15" ht="12.75" customHeight="1" x14ac:dyDescent="0.1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1"/>
      <c r="O416" s="1"/>
    </row>
    <row r="417" spans="2:15" ht="12.75" customHeight="1" x14ac:dyDescent="0.1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1"/>
      <c r="O417" s="1"/>
    </row>
    <row r="418" spans="2:15" ht="12.75" customHeight="1" x14ac:dyDescent="0.1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1"/>
      <c r="O418" s="1"/>
    </row>
    <row r="419" spans="2:15" ht="12.75" customHeight="1" x14ac:dyDescent="0.1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1"/>
      <c r="O419" s="1"/>
    </row>
    <row r="420" spans="2:15" ht="12.75" customHeight="1" x14ac:dyDescent="0.1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1"/>
      <c r="O420" s="1"/>
    </row>
    <row r="421" spans="2:15" ht="12.75" customHeight="1" x14ac:dyDescent="0.1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1"/>
      <c r="O421" s="1"/>
    </row>
    <row r="422" spans="2:15" ht="12.75" customHeight="1" x14ac:dyDescent="0.1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1"/>
      <c r="O422" s="1"/>
    </row>
    <row r="423" spans="2:15" ht="12.75" customHeight="1" x14ac:dyDescent="0.1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1"/>
      <c r="O423" s="1"/>
    </row>
    <row r="424" spans="2:15" ht="12.75" customHeight="1" x14ac:dyDescent="0.1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1"/>
      <c r="O424" s="1"/>
    </row>
    <row r="425" spans="2:15" ht="12.75" customHeight="1" x14ac:dyDescent="0.1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1"/>
      <c r="O425" s="1"/>
    </row>
    <row r="426" spans="2:15" ht="12.75" customHeight="1" x14ac:dyDescent="0.1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1"/>
      <c r="O426" s="1"/>
    </row>
    <row r="427" spans="2:15" ht="12.75" customHeight="1" x14ac:dyDescent="0.1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1"/>
      <c r="O427" s="1"/>
    </row>
    <row r="428" spans="2:15" ht="12.75" customHeight="1" x14ac:dyDescent="0.1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1"/>
      <c r="O428" s="1"/>
    </row>
    <row r="429" spans="2:15" ht="12.75" customHeight="1" x14ac:dyDescent="0.1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1"/>
      <c r="O429" s="1"/>
    </row>
    <row r="430" spans="2:15" ht="12.75" customHeight="1" x14ac:dyDescent="0.1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1"/>
      <c r="O430" s="1"/>
    </row>
    <row r="431" spans="2:15" ht="12.75" customHeight="1" x14ac:dyDescent="0.1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1"/>
      <c r="O431" s="1"/>
    </row>
    <row r="432" spans="2:15" ht="12.75" customHeight="1" x14ac:dyDescent="0.1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1"/>
      <c r="O432" s="1"/>
    </row>
    <row r="433" spans="2:15" ht="12.75" customHeight="1" x14ac:dyDescent="0.1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1"/>
      <c r="O433" s="1"/>
    </row>
    <row r="434" spans="2:15" ht="12.75" customHeight="1" x14ac:dyDescent="0.1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1"/>
      <c r="O434" s="1"/>
    </row>
    <row r="435" spans="2:15" ht="12.75" customHeight="1" x14ac:dyDescent="0.1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1"/>
      <c r="O435" s="1"/>
    </row>
    <row r="436" spans="2:15" ht="12.75" customHeight="1" x14ac:dyDescent="0.1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1"/>
      <c r="O436" s="1"/>
    </row>
    <row r="437" spans="2:15" ht="12.75" customHeight="1" x14ac:dyDescent="0.1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1"/>
      <c r="O437" s="1"/>
    </row>
    <row r="438" spans="2:15" ht="12.75" customHeight="1" x14ac:dyDescent="0.1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1"/>
      <c r="O438" s="1"/>
    </row>
    <row r="439" spans="2:15" ht="12.75" customHeight="1" x14ac:dyDescent="0.1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1"/>
      <c r="O439" s="1"/>
    </row>
    <row r="440" spans="2:15" ht="12.75" customHeight="1" x14ac:dyDescent="0.1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1"/>
      <c r="O440" s="1"/>
    </row>
    <row r="441" spans="2:15" ht="12.75" customHeight="1" x14ac:dyDescent="0.1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1"/>
      <c r="O441" s="1"/>
    </row>
    <row r="442" spans="2:15" ht="12.75" customHeight="1" x14ac:dyDescent="0.1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1"/>
      <c r="O442" s="1"/>
    </row>
    <row r="443" spans="2:15" ht="12.75" customHeight="1" x14ac:dyDescent="0.1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1"/>
      <c r="O443" s="1"/>
    </row>
    <row r="444" spans="2:15" ht="12.75" customHeight="1" x14ac:dyDescent="0.1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1"/>
      <c r="O444" s="1"/>
    </row>
    <row r="445" spans="2:15" ht="12.75" customHeight="1" x14ac:dyDescent="0.1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1"/>
      <c r="O445" s="1"/>
    </row>
    <row r="446" spans="2:15" ht="12.75" customHeight="1" x14ac:dyDescent="0.1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1"/>
      <c r="O446" s="1"/>
    </row>
    <row r="447" spans="2:15" ht="12.75" customHeight="1" x14ac:dyDescent="0.1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1"/>
      <c r="O447" s="1"/>
    </row>
    <row r="448" spans="2:15" ht="12.75" customHeight="1" x14ac:dyDescent="0.1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1"/>
      <c r="O448" s="1"/>
    </row>
    <row r="449" spans="2:15" ht="12.75" customHeight="1" x14ac:dyDescent="0.1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1"/>
      <c r="O449" s="1"/>
    </row>
    <row r="450" spans="2:15" ht="12.75" customHeight="1" x14ac:dyDescent="0.1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1"/>
      <c r="O450" s="1"/>
    </row>
    <row r="451" spans="2:15" ht="12.75" customHeight="1" x14ac:dyDescent="0.1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1"/>
      <c r="O451" s="1"/>
    </row>
    <row r="452" spans="2:15" ht="12.75" customHeight="1" x14ac:dyDescent="0.1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1"/>
      <c r="O452" s="1"/>
    </row>
    <row r="453" spans="2:15" ht="12.75" customHeight="1" x14ac:dyDescent="0.1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1"/>
      <c r="O453" s="1"/>
    </row>
    <row r="454" spans="2:15" ht="12.75" customHeight="1" x14ac:dyDescent="0.1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1"/>
      <c r="O454" s="1"/>
    </row>
    <row r="455" spans="2:15" ht="12.75" customHeight="1" x14ac:dyDescent="0.1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1"/>
      <c r="O455" s="1"/>
    </row>
    <row r="456" spans="2:15" ht="12.75" customHeight="1" x14ac:dyDescent="0.1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1"/>
      <c r="O456" s="1"/>
    </row>
    <row r="457" spans="2:15" ht="12.75" customHeight="1" x14ac:dyDescent="0.1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1"/>
      <c r="O457" s="1"/>
    </row>
    <row r="458" spans="2:15" ht="12.75" customHeight="1" x14ac:dyDescent="0.1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1"/>
      <c r="O458" s="1"/>
    </row>
    <row r="459" spans="2:15" ht="12.75" customHeight="1" x14ac:dyDescent="0.1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1"/>
      <c r="O459" s="1"/>
    </row>
    <row r="460" spans="2:15" ht="12.75" customHeight="1" x14ac:dyDescent="0.1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1"/>
      <c r="O460" s="1"/>
    </row>
    <row r="461" spans="2:15" ht="12.75" customHeight="1" x14ac:dyDescent="0.1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1"/>
      <c r="O461" s="1"/>
    </row>
    <row r="462" spans="2:15" ht="12.75" customHeight="1" x14ac:dyDescent="0.1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1"/>
      <c r="O462" s="1"/>
    </row>
    <row r="463" spans="2:15" ht="12.75" customHeight="1" x14ac:dyDescent="0.1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1"/>
      <c r="O463" s="1"/>
    </row>
    <row r="464" spans="2:15" ht="12.75" customHeight="1" x14ac:dyDescent="0.1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1"/>
      <c r="O464" s="1"/>
    </row>
    <row r="465" spans="2:15" ht="12.75" customHeight="1" x14ac:dyDescent="0.1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1"/>
      <c r="O465" s="1"/>
    </row>
    <row r="466" spans="2:15" ht="12.75" customHeight="1" x14ac:dyDescent="0.1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1"/>
      <c r="O466" s="1"/>
    </row>
    <row r="467" spans="2:15" ht="12.75" customHeight="1" x14ac:dyDescent="0.1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1"/>
      <c r="O467" s="1"/>
    </row>
    <row r="468" spans="2:15" ht="12.75" customHeight="1" x14ac:dyDescent="0.1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1"/>
      <c r="O468" s="1"/>
    </row>
    <row r="469" spans="2:15" ht="12.75" customHeight="1" x14ac:dyDescent="0.1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1"/>
      <c r="O469" s="1"/>
    </row>
    <row r="470" spans="2:15" ht="12.75" customHeight="1" x14ac:dyDescent="0.1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1"/>
      <c r="O470" s="1"/>
    </row>
    <row r="471" spans="2:15" ht="12.75" customHeight="1" x14ac:dyDescent="0.1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1"/>
      <c r="O471" s="1"/>
    </row>
    <row r="472" spans="2:15" ht="12.75" customHeight="1" x14ac:dyDescent="0.1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1"/>
      <c r="O472" s="1"/>
    </row>
    <row r="473" spans="2:15" ht="12.75" customHeight="1" x14ac:dyDescent="0.1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1"/>
      <c r="O473" s="1"/>
    </row>
    <row r="474" spans="2:15" ht="12.75" customHeight="1" x14ac:dyDescent="0.1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1"/>
      <c r="O474" s="1"/>
    </row>
    <row r="475" spans="2:15" ht="12.75" customHeight="1" x14ac:dyDescent="0.1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1"/>
      <c r="O475" s="1"/>
    </row>
    <row r="476" spans="2:15" ht="12.75" customHeight="1" x14ac:dyDescent="0.1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1"/>
      <c r="O476" s="1"/>
    </row>
    <row r="477" spans="2:15" ht="12.75" customHeight="1" x14ac:dyDescent="0.1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1"/>
      <c r="O477" s="1"/>
    </row>
    <row r="478" spans="2:15" ht="12.75" customHeight="1" x14ac:dyDescent="0.1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1"/>
      <c r="O478" s="1"/>
    </row>
    <row r="479" spans="2:15" ht="12.75" customHeight="1" x14ac:dyDescent="0.1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1"/>
      <c r="O479" s="1"/>
    </row>
    <row r="480" spans="2:15" ht="12.75" customHeight="1" x14ac:dyDescent="0.1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1"/>
      <c r="O480" s="1"/>
    </row>
    <row r="481" spans="2:15" ht="12.75" customHeight="1" x14ac:dyDescent="0.1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1"/>
      <c r="O481" s="1"/>
    </row>
    <row r="482" spans="2:15" ht="12.75" customHeight="1" x14ac:dyDescent="0.1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1"/>
      <c r="O482" s="1"/>
    </row>
    <row r="483" spans="2:15" ht="12.75" customHeight="1" x14ac:dyDescent="0.1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1"/>
      <c r="O483" s="1"/>
    </row>
    <row r="484" spans="2:15" ht="12.75" customHeight="1" x14ac:dyDescent="0.1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1"/>
      <c r="O484" s="1"/>
    </row>
    <row r="485" spans="2:15" ht="12.75" customHeight="1" x14ac:dyDescent="0.1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1"/>
      <c r="O485" s="1"/>
    </row>
    <row r="486" spans="2:15" ht="12.75" customHeight="1" x14ac:dyDescent="0.1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1"/>
      <c r="O486" s="1"/>
    </row>
    <row r="487" spans="2:15" ht="12.75" customHeight="1" x14ac:dyDescent="0.1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1"/>
      <c r="O487" s="1"/>
    </row>
    <row r="488" spans="2:15" ht="12.75" customHeight="1" x14ac:dyDescent="0.1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1"/>
      <c r="O488" s="1"/>
    </row>
    <row r="489" spans="2:15" ht="12.75" customHeight="1" x14ac:dyDescent="0.1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1"/>
      <c r="O489" s="1"/>
    </row>
    <row r="490" spans="2:15" ht="12.75" customHeight="1" x14ac:dyDescent="0.1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1"/>
      <c r="O490" s="1"/>
    </row>
    <row r="491" spans="2:15" ht="12.75" customHeight="1" x14ac:dyDescent="0.1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1"/>
      <c r="O491" s="1"/>
    </row>
    <row r="492" spans="2:15" ht="12.75" customHeight="1" x14ac:dyDescent="0.1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1"/>
      <c r="O492" s="1"/>
    </row>
    <row r="493" spans="2:15" ht="12.75" customHeight="1" x14ac:dyDescent="0.1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1"/>
      <c r="O493" s="1"/>
    </row>
    <row r="494" spans="2:15" ht="12.75" customHeight="1" x14ac:dyDescent="0.1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1"/>
      <c r="O494" s="1"/>
    </row>
    <row r="495" spans="2:15" ht="12.75" customHeight="1" x14ac:dyDescent="0.1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1"/>
      <c r="O495" s="1"/>
    </row>
    <row r="496" spans="2:15" ht="12.75" customHeight="1" x14ac:dyDescent="0.1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1"/>
      <c r="O496" s="1"/>
    </row>
    <row r="497" spans="2:15" ht="12.75" customHeight="1" x14ac:dyDescent="0.1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1"/>
      <c r="O497" s="1"/>
    </row>
    <row r="498" spans="2:15" ht="12.75" customHeight="1" x14ac:dyDescent="0.1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1"/>
      <c r="O498" s="1"/>
    </row>
    <row r="499" spans="2:15" ht="12.75" customHeight="1" x14ac:dyDescent="0.1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1"/>
      <c r="O499" s="1"/>
    </row>
    <row r="500" spans="2:15" ht="12.75" customHeight="1" x14ac:dyDescent="0.1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1"/>
      <c r="O500" s="1"/>
    </row>
    <row r="501" spans="2:15" ht="12.75" customHeight="1" x14ac:dyDescent="0.1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1"/>
      <c r="O501" s="1"/>
    </row>
    <row r="502" spans="2:15" ht="12.75" customHeight="1" x14ac:dyDescent="0.1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1"/>
      <c r="O502" s="1"/>
    </row>
    <row r="503" spans="2:15" ht="12.75" customHeight="1" x14ac:dyDescent="0.1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1"/>
      <c r="O503" s="1"/>
    </row>
    <row r="504" spans="2:15" ht="12.75" customHeight="1" x14ac:dyDescent="0.1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1"/>
      <c r="O504" s="1"/>
    </row>
    <row r="505" spans="2:15" ht="12.75" customHeight="1" x14ac:dyDescent="0.1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1"/>
      <c r="O505" s="1"/>
    </row>
    <row r="506" spans="2:15" ht="12.75" customHeight="1" x14ac:dyDescent="0.1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1"/>
      <c r="O506" s="1"/>
    </row>
    <row r="507" spans="2:15" ht="12.75" customHeight="1" x14ac:dyDescent="0.1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1"/>
      <c r="O507" s="1"/>
    </row>
    <row r="508" spans="2:15" ht="12.75" customHeight="1" x14ac:dyDescent="0.1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1"/>
      <c r="O508" s="1"/>
    </row>
    <row r="509" spans="2:15" ht="12.75" customHeight="1" x14ac:dyDescent="0.1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1"/>
      <c r="O509" s="1"/>
    </row>
    <row r="510" spans="2:15" ht="12.75" customHeight="1" x14ac:dyDescent="0.1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1"/>
      <c r="O510" s="1"/>
    </row>
    <row r="511" spans="2:15" ht="12.75" customHeight="1" x14ac:dyDescent="0.1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1"/>
      <c r="O511" s="1"/>
    </row>
    <row r="512" spans="2:15" ht="12.75" customHeight="1" x14ac:dyDescent="0.1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1"/>
      <c r="O512" s="1"/>
    </row>
    <row r="513" spans="2:15" ht="12.75" customHeight="1" x14ac:dyDescent="0.1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1"/>
      <c r="O513" s="1"/>
    </row>
    <row r="514" spans="2:15" ht="12.75" customHeight="1" x14ac:dyDescent="0.1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1"/>
      <c r="O514" s="1"/>
    </row>
    <row r="515" spans="2:15" ht="12.75" customHeight="1" x14ac:dyDescent="0.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1"/>
      <c r="O515" s="1"/>
    </row>
    <row r="516" spans="2:15" ht="12.75" customHeight="1" x14ac:dyDescent="0.1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1"/>
      <c r="O516" s="1"/>
    </row>
    <row r="517" spans="2:15" ht="12.75" customHeight="1" x14ac:dyDescent="0.1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1"/>
      <c r="O517" s="1"/>
    </row>
    <row r="518" spans="2:15" ht="12.75" customHeight="1" x14ac:dyDescent="0.1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1"/>
      <c r="O518" s="1"/>
    </row>
    <row r="519" spans="2:15" ht="12.75" customHeight="1" x14ac:dyDescent="0.1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1"/>
      <c r="O519" s="1"/>
    </row>
    <row r="520" spans="2:15" ht="12.75" customHeight="1" x14ac:dyDescent="0.1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1"/>
      <c r="O520" s="1"/>
    </row>
    <row r="521" spans="2:15" ht="12.75" customHeight="1" x14ac:dyDescent="0.1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1"/>
      <c r="O521" s="1"/>
    </row>
    <row r="522" spans="2:15" ht="12.75" customHeight="1" x14ac:dyDescent="0.1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1"/>
      <c r="O522" s="1"/>
    </row>
    <row r="523" spans="2:15" ht="12.75" customHeight="1" x14ac:dyDescent="0.1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1"/>
      <c r="O523" s="1"/>
    </row>
    <row r="524" spans="2:15" ht="12.75" customHeight="1" x14ac:dyDescent="0.1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1"/>
      <c r="O524" s="1"/>
    </row>
    <row r="525" spans="2:15" ht="12.75" customHeight="1" x14ac:dyDescent="0.1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1"/>
      <c r="O525" s="1"/>
    </row>
    <row r="526" spans="2:15" ht="12.75" customHeight="1" x14ac:dyDescent="0.1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1"/>
      <c r="O526" s="1"/>
    </row>
    <row r="527" spans="2:15" ht="12.75" customHeight="1" x14ac:dyDescent="0.1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1"/>
      <c r="O527" s="1"/>
    </row>
    <row r="528" spans="2:15" ht="12.75" customHeight="1" x14ac:dyDescent="0.1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1"/>
      <c r="O528" s="1"/>
    </row>
    <row r="529" spans="2:15" ht="12.75" customHeight="1" x14ac:dyDescent="0.1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1"/>
      <c r="O529" s="1"/>
    </row>
    <row r="530" spans="2:15" ht="12.75" customHeight="1" x14ac:dyDescent="0.1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1"/>
      <c r="O530" s="1"/>
    </row>
    <row r="531" spans="2:15" ht="12.75" customHeight="1" x14ac:dyDescent="0.1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1"/>
      <c r="O531" s="1"/>
    </row>
    <row r="532" spans="2:15" ht="12.75" customHeight="1" x14ac:dyDescent="0.1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1"/>
      <c r="O532" s="1"/>
    </row>
    <row r="533" spans="2:15" ht="12.75" customHeight="1" x14ac:dyDescent="0.1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1"/>
      <c r="O533" s="1"/>
    </row>
    <row r="534" spans="2:15" ht="12.75" customHeight="1" x14ac:dyDescent="0.1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1"/>
      <c r="O534" s="1"/>
    </row>
    <row r="535" spans="2:15" ht="12.75" customHeight="1" x14ac:dyDescent="0.1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1"/>
      <c r="O535" s="1"/>
    </row>
    <row r="536" spans="2:15" ht="12.75" customHeight="1" x14ac:dyDescent="0.1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1"/>
      <c r="O536" s="1"/>
    </row>
    <row r="537" spans="2:15" ht="12.75" customHeight="1" x14ac:dyDescent="0.1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1"/>
      <c r="O537" s="1"/>
    </row>
    <row r="538" spans="2:15" ht="12.75" customHeight="1" x14ac:dyDescent="0.1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1"/>
      <c r="O538" s="1"/>
    </row>
    <row r="539" spans="2:15" ht="12.75" customHeight="1" x14ac:dyDescent="0.1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1"/>
      <c r="O539" s="1"/>
    </row>
    <row r="540" spans="2:15" ht="12.75" customHeight="1" x14ac:dyDescent="0.1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1"/>
      <c r="O540" s="1"/>
    </row>
    <row r="541" spans="2:15" ht="12.75" customHeight="1" x14ac:dyDescent="0.1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1"/>
      <c r="O541" s="1"/>
    </row>
    <row r="542" spans="2:15" ht="12.75" customHeight="1" x14ac:dyDescent="0.1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1"/>
      <c r="O542" s="1"/>
    </row>
    <row r="543" spans="2:15" ht="12.75" customHeight="1" x14ac:dyDescent="0.1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1"/>
      <c r="O543" s="1"/>
    </row>
    <row r="544" spans="2:15" ht="12.75" customHeight="1" x14ac:dyDescent="0.1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1"/>
      <c r="O544" s="1"/>
    </row>
    <row r="545" spans="2:15" ht="12.75" customHeight="1" x14ac:dyDescent="0.1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1"/>
      <c r="O545" s="1"/>
    </row>
    <row r="546" spans="2:15" ht="12.75" customHeight="1" x14ac:dyDescent="0.1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1"/>
      <c r="O546" s="1"/>
    </row>
    <row r="547" spans="2:15" ht="12.75" customHeight="1" x14ac:dyDescent="0.1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1"/>
      <c r="O547" s="1"/>
    </row>
    <row r="548" spans="2:15" ht="12.75" customHeight="1" x14ac:dyDescent="0.1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1"/>
      <c r="O548" s="1"/>
    </row>
    <row r="549" spans="2:15" ht="12.75" customHeight="1" x14ac:dyDescent="0.1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1"/>
      <c r="O549" s="1"/>
    </row>
    <row r="550" spans="2:15" ht="12.75" customHeight="1" x14ac:dyDescent="0.1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1"/>
      <c r="O550" s="1"/>
    </row>
    <row r="551" spans="2:15" ht="12.75" customHeight="1" x14ac:dyDescent="0.1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1"/>
      <c r="O551" s="1"/>
    </row>
    <row r="552" spans="2:15" ht="12.75" customHeight="1" x14ac:dyDescent="0.1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1"/>
      <c r="O552" s="1"/>
    </row>
    <row r="553" spans="2:15" ht="12.75" customHeight="1" x14ac:dyDescent="0.1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1"/>
      <c r="O553" s="1"/>
    </row>
    <row r="554" spans="2:15" ht="12.75" customHeight="1" x14ac:dyDescent="0.1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1"/>
      <c r="O554" s="1"/>
    </row>
    <row r="555" spans="2:15" ht="12.75" customHeight="1" x14ac:dyDescent="0.1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1"/>
      <c r="O555" s="1"/>
    </row>
    <row r="556" spans="2:15" ht="12.75" customHeight="1" x14ac:dyDescent="0.1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1"/>
      <c r="O556" s="1"/>
    </row>
    <row r="557" spans="2:15" ht="12.75" customHeight="1" x14ac:dyDescent="0.1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1"/>
      <c r="O557" s="1"/>
    </row>
    <row r="558" spans="2:15" ht="12.75" customHeight="1" x14ac:dyDescent="0.1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1"/>
      <c r="O558" s="1"/>
    </row>
    <row r="559" spans="2:15" ht="12.75" customHeight="1" x14ac:dyDescent="0.1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1"/>
      <c r="O559" s="1"/>
    </row>
    <row r="560" spans="2:15" ht="12.75" customHeight="1" x14ac:dyDescent="0.1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1"/>
      <c r="O560" s="1"/>
    </row>
    <row r="561" spans="2:15" ht="12.75" customHeight="1" x14ac:dyDescent="0.1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1"/>
      <c r="O561" s="1"/>
    </row>
    <row r="562" spans="2:15" ht="12.75" customHeight="1" x14ac:dyDescent="0.1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1"/>
      <c r="O562" s="1"/>
    </row>
    <row r="563" spans="2:15" ht="12.75" customHeight="1" x14ac:dyDescent="0.1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1"/>
      <c r="O563" s="1"/>
    </row>
    <row r="564" spans="2:15" ht="12.75" customHeight="1" x14ac:dyDescent="0.1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1"/>
      <c r="O564" s="1"/>
    </row>
    <row r="565" spans="2:15" ht="12.75" customHeight="1" x14ac:dyDescent="0.1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1"/>
      <c r="O565" s="1"/>
    </row>
    <row r="566" spans="2:15" ht="12.75" customHeight="1" x14ac:dyDescent="0.1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1"/>
      <c r="O566" s="1"/>
    </row>
    <row r="567" spans="2:15" ht="12.75" customHeight="1" x14ac:dyDescent="0.1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1"/>
      <c r="O567" s="1"/>
    </row>
    <row r="568" spans="2:15" ht="12.75" customHeight="1" x14ac:dyDescent="0.1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1"/>
      <c r="O568" s="1"/>
    </row>
    <row r="569" spans="2:15" ht="12.75" customHeight="1" x14ac:dyDescent="0.1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1"/>
      <c r="O569" s="1"/>
    </row>
    <row r="570" spans="2:15" ht="12.75" customHeight="1" x14ac:dyDescent="0.1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1"/>
      <c r="O570" s="1"/>
    </row>
    <row r="571" spans="2:15" ht="12.75" customHeight="1" x14ac:dyDescent="0.1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1"/>
      <c r="O571" s="1"/>
    </row>
    <row r="572" spans="2:15" ht="12.75" customHeight="1" x14ac:dyDescent="0.1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1"/>
      <c r="O572" s="1"/>
    </row>
    <row r="573" spans="2:15" ht="12.75" customHeight="1" x14ac:dyDescent="0.1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1"/>
      <c r="O573" s="1"/>
    </row>
    <row r="574" spans="2:15" ht="12.75" customHeight="1" x14ac:dyDescent="0.1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1"/>
      <c r="O574" s="1"/>
    </row>
    <row r="575" spans="2:15" ht="12.75" customHeight="1" x14ac:dyDescent="0.1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1"/>
      <c r="O575" s="1"/>
    </row>
    <row r="576" spans="2:15" ht="12.75" customHeight="1" x14ac:dyDescent="0.1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1"/>
      <c r="O576" s="1"/>
    </row>
    <row r="577" spans="2:15" ht="12.75" customHeight="1" x14ac:dyDescent="0.1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1"/>
      <c r="O577" s="1"/>
    </row>
    <row r="578" spans="2:15" ht="12.75" customHeight="1" x14ac:dyDescent="0.1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1"/>
      <c r="O578" s="1"/>
    </row>
    <row r="579" spans="2:15" ht="12.75" customHeight="1" x14ac:dyDescent="0.1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1"/>
      <c r="O579" s="1"/>
    </row>
    <row r="580" spans="2:15" ht="12.75" customHeight="1" x14ac:dyDescent="0.1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1"/>
      <c r="O580" s="1"/>
    </row>
    <row r="581" spans="2:15" ht="12.75" customHeight="1" x14ac:dyDescent="0.1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1"/>
      <c r="O581" s="1"/>
    </row>
    <row r="582" spans="2:15" ht="12.75" customHeight="1" x14ac:dyDescent="0.1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1"/>
      <c r="O582" s="1"/>
    </row>
    <row r="583" spans="2:15" ht="12.75" customHeight="1" x14ac:dyDescent="0.1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1"/>
      <c r="O583" s="1"/>
    </row>
    <row r="584" spans="2:15" ht="12.75" customHeight="1" x14ac:dyDescent="0.1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1"/>
      <c r="O584" s="1"/>
    </row>
    <row r="585" spans="2:15" ht="12.75" customHeight="1" x14ac:dyDescent="0.1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1"/>
      <c r="O585" s="1"/>
    </row>
    <row r="586" spans="2:15" ht="12.75" customHeight="1" x14ac:dyDescent="0.1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1"/>
      <c r="O586" s="1"/>
    </row>
    <row r="587" spans="2:15" ht="12.75" customHeight="1" x14ac:dyDescent="0.1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1"/>
      <c r="O587" s="1"/>
    </row>
    <row r="588" spans="2:15" ht="12.75" customHeight="1" x14ac:dyDescent="0.1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1"/>
      <c r="O588" s="1"/>
    </row>
    <row r="589" spans="2:15" ht="12.75" customHeight="1" x14ac:dyDescent="0.1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1"/>
      <c r="O589" s="1"/>
    </row>
    <row r="590" spans="2:15" ht="12.75" customHeight="1" x14ac:dyDescent="0.1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1"/>
      <c r="O590" s="1"/>
    </row>
    <row r="591" spans="2:15" ht="12.75" customHeight="1" x14ac:dyDescent="0.1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1"/>
      <c r="O591" s="1"/>
    </row>
    <row r="592" spans="2:15" ht="12.75" customHeight="1" x14ac:dyDescent="0.1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1"/>
      <c r="O592" s="1"/>
    </row>
    <row r="593" spans="2:15" ht="12.75" customHeight="1" x14ac:dyDescent="0.1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1"/>
      <c r="O593" s="1"/>
    </row>
    <row r="594" spans="2:15" ht="12.75" customHeight="1" x14ac:dyDescent="0.1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1"/>
      <c r="O594" s="1"/>
    </row>
    <row r="595" spans="2:15" ht="12.75" customHeight="1" x14ac:dyDescent="0.1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1"/>
      <c r="O595" s="1"/>
    </row>
    <row r="596" spans="2:15" ht="12.75" customHeight="1" x14ac:dyDescent="0.1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1"/>
      <c r="O596" s="1"/>
    </row>
    <row r="597" spans="2:15" ht="12.75" customHeight="1" x14ac:dyDescent="0.1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1"/>
      <c r="O597" s="1"/>
    </row>
    <row r="598" spans="2:15" ht="12.75" customHeight="1" x14ac:dyDescent="0.1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1"/>
      <c r="O598" s="1"/>
    </row>
    <row r="599" spans="2:15" ht="12.75" customHeight="1" x14ac:dyDescent="0.1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1"/>
      <c r="O599" s="1"/>
    </row>
    <row r="600" spans="2:15" ht="12.75" customHeight="1" x14ac:dyDescent="0.1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1"/>
      <c r="O600" s="1"/>
    </row>
    <row r="601" spans="2:15" ht="12.75" customHeight="1" x14ac:dyDescent="0.1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1"/>
      <c r="O601" s="1"/>
    </row>
    <row r="602" spans="2:15" ht="12.75" customHeight="1" x14ac:dyDescent="0.1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1"/>
      <c r="O602" s="1"/>
    </row>
    <row r="603" spans="2:15" ht="12.75" customHeight="1" x14ac:dyDescent="0.1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1"/>
      <c r="O603" s="1"/>
    </row>
    <row r="604" spans="2:15" ht="12.75" customHeight="1" x14ac:dyDescent="0.1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1"/>
      <c r="O604" s="1"/>
    </row>
    <row r="605" spans="2:15" ht="12.75" customHeight="1" x14ac:dyDescent="0.1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1"/>
      <c r="O605" s="1"/>
    </row>
    <row r="606" spans="2:15" ht="12.75" customHeight="1" x14ac:dyDescent="0.1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1"/>
      <c r="O606" s="1"/>
    </row>
    <row r="607" spans="2:15" ht="12.75" customHeight="1" x14ac:dyDescent="0.1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1"/>
      <c r="O607" s="1"/>
    </row>
    <row r="608" spans="2:15" ht="12.75" customHeight="1" x14ac:dyDescent="0.1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1"/>
      <c r="O608" s="1"/>
    </row>
    <row r="609" spans="2:15" ht="12.75" customHeight="1" x14ac:dyDescent="0.1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1"/>
      <c r="O609" s="1"/>
    </row>
    <row r="610" spans="2:15" ht="12.75" customHeight="1" x14ac:dyDescent="0.1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1"/>
      <c r="O610" s="1"/>
    </row>
    <row r="611" spans="2:15" ht="12.75" customHeight="1" x14ac:dyDescent="0.1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1"/>
      <c r="O611" s="1"/>
    </row>
    <row r="612" spans="2:15" ht="12.75" customHeight="1" x14ac:dyDescent="0.1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1"/>
      <c r="O612" s="1"/>
    </row>
    <row r="613" spans="2:15" ht="12.75" customHeight="1" x14ac:dyDescent="0.1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1"/>
      <c r="O613" s="1"/>
    </row>
    <row r="614" spans="2:15" ht="12.75" customHeight="1" x14ac:dyDescent="0.1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1"/>
      <c r="O614" s="1"/>
    </row>
    <row r="615" spans="2:15" ht="12.75" customHeight="1" x14ac:dyDescent="0.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1"/>
      <c r="O615" s="1"/>
    </row>
    <row r="616" spans="2:15" ht="12.75" customHeight="1" x14ac:dyDescent="0.1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1"/>
      <c r="O616" s="1"/>
    </row>
    <row r="617" spans="2:15" ht="12.75" customHeight="1" x14ac:dyDescent="0.1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1"/>
      <c r="O617" s="1"/>
    </row>
    <row r="618" spans="2:15" ht="12.75" customHeight="1" x14ac:dyDescent="0.1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1"/>
      <c r="O618" s="1"/>
    </row>
    <row r="619" spans="2:15" ht="12.75" customHeight="1" x14ac:dyDescent="0.1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1"/>
      <c r="O619" s="1"/>
    </row>
    <row r="620" spans="2:15" ht="12.75" customHeight="1" x14ac:dyDescent="0.1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1"/>
      <c r="O620" s="1"/>
    </row>
    <row r="621" spans="2:15" ht="12.75" customHeight="1" x14ac:dyDescent="0.1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1"/>
      <c r="O621" s="1"/>
    </row>
    <row r="622" spans="2:15" ht="12.75" customHeight="1" x14ac:dyDescent="0.1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1"/>
      <c r="O622" s="1"/>
    </row>
    <row r="623" spans="2:15" ht="12.75" customHeight="1" x14ac:dyDescent="0.1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1"/>
      <c r="O623" s="1"/>
    </row>
    <row r="624" spans="2:15" ht="12.75" customHeight="1" x14ac:dyDescent="0.1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1"/>
      <c r="O624" s="1"/>
    </row>
    <row r="625" spans="2:15" ht="12.75" customHeight="1" x14ac:dyDescent="0.1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1"/>
      <c r="O625" s="1"/>
    </row>
    <row r="626" spans="2:15" ht="12.75" customHeight="1" x14ac:dyDescent="0.1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1"/>
      <c r="O626" s="1"/>
    </row>
    <row r="627" spans="2:15" ht="12.75" customHeight="1" x14ac:dyDescent="0.1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1"/>
      <c r="O627" s="1"/>
    </row>
    <row r="628" spans="2:15" ht="12.75" customHeight="1" x14ac:dyDescent="0.1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1"/>
      <c r="O628" s="1"/>
    </row>
    <row r="629" spans="2:15" ht="12.75" customHeight="1" x14ac:dyDescent="0.1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1"/>
      <c r="O629" s="1"/>
    </row>
    <row r="630" spans="2:15" ht="12.75" customHeight="1" x14ac:dyDescent="0.1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1"/>
      <c r="O630" s="1"/>
    </row>
    <row r="631" spans="2:15" ht="12.75" customHeight="1" x14ac:dyDescent="0.1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1"/>
      <c r="O631" s="1"/>
    </row>
    <row r="632" spans="2:15" ht="12.75" customHeight="1" x14ac:dyDescent="0.1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1"/>
      <c r="O632" s="1"/>
    </row>
    <row r="633" spans="2:15" ht="12.75" customHeight="1" x14ac:dyDescent="0.1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1"/>
      <c r="O633" s="1"/>
    </row>
    <row r="634" spans="2:15" ht="12.75" customHeight="1" x14ac:dyDescent="0.1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1"/>
      <c r="O634" s="1"/>
    </row>
    <row r="635" spans="2:15" ht="12.75" customHeight="1" x14ac:dyDescent="0.1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1"/>
      <c r="O635" s="1"/>
    </row>
    <row r="636" spans="2:15" ht="12.75" customHeight="1" x14ac:dyDescent="0.1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1"/>
      <c r="O636" s="1"/>
    </row>
    <row r="637" spans="2:15" ht="12.75" customHeight="1" x14ac:dyDescent="0.1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1"/>
      <c r="O637" s="1"/>
    </row>
    <row r="638" spans="2:15" ht="12.75" customHeight="1" x14ac:dyDescent="0.1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1"/>
      <c r="O638" s="1"/>
    </row>
    <row r="639" spans="2:15" ht="12.75" customHeight="1" x14ac:dyDescent="0.1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1"/>
      <c r="O639" s="1"/>
    </row>
    <row r="640" spans="2:15" ht="12.75" customHeight="1" x14ac:dyDescent="0.1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1"/>
      <c r="O640" s="1"/>
    </row>
    <row r="641" spans="2:15" ht="12.75" customHeight="1" x14ac:dyDescent="0.1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1"/>
      <c r="O641" s="1"/>
    </row>
    <row r="642" spans="2:15" ht="12.75" customHeight="1" x14ac:dyDescent="0.1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1"/>
      <c r="O642" s="1"/>
    </row>
    <row r="643" spans="2:15" ht="12.75" customHeight="1" x14ac:dyDescent="0.1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1"/>
      <c r="O643" s="1"/>
    </row>
    <row r="644" spans="2:15" ht="12.75" customHeight="1" x14ac:dyDescent="0.1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1"/>
      <c r="O644" s="1"/>
    </row>
    <row r="645" spans="2:15" ht="12.75" customHeight="1" x14ac:dyDescent="0.1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1"/>
      <c r="O645" s="1"/>
    </row>
    <row r="646" spans="2:15" ht="12.75" customHeight="1" x14ac:dyDescent="0.1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1"/>
      <c r="O646" s="1"/>
    </row>
    <row r="647" spans="2:15" ht="12.75" customHeight="1" x14ac:dyDescent="0.1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1"/>
      <c r="O647" s="1"/>
    </row>
    <row r="648" spans="2:15" ht="12.75" customHeight="1" x14ac:dyDescent="0.1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1"/>
      <c r="O648" s="1"/>
    </row>
    <row r="649" spans="2:15" ht="12.75" customHeight="1" x14ac:dyDescent="0.1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1"/>
      <c r="O649" s="1"/>
    </row>
    <row r="650" spans="2:15" ht="12.75" customHeight="1" x14ac:dyDescent="0.1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1"/>
      <c r="O650" s="1"/>
    </row>
    <row r="651" spans="2:15" ht="12.75" customHeight="1" x14ac:dyDescent="0.1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1"/>
      <c r="O651" s="1"/>
    </row>
    <row r="652" spans="2:15" ht="12.75" customHeight="1" x14ac:dyDescent="0.1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1"/>
      <c r="O652" s="1"/>
    </row>
    <row r="653" spans="2:15" ht="12.75" customHeight="1" x14ac:dyDescent="0.1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1"/>
      <c r="O653" s="1"/>
    </row>
    <row r="654" spans="2:15" ht="12.75" customHeight="1" x14ac:dyDescent="0.1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1"/>
      <c r="O654" s="1"/>
    </row>
    <row r="655" spans="2:15" ht="12.75" customHeight="1" x14ac:dyDescent="0.1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1"/>
      <c r="O655" s="1"/>
    </row>
    <row r="656" spans="2:15" ht="12.75" customHeight="1" x14ac:dyDescent="0.1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1"/>
      <c r="O656" s="1"/>
    </row>
    <row r="657" spans="2:15" ht="12.75" customHeight="1" x14ac:dyDescent="0.1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1"/>
      <c r="O657" s="1"/>
    </row>
    <row r="658" spans="2:15" ht="12.75" customHeight="1" x14ac:dyDescent="0.1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1"/>
      <c r="O658" s="1"/>
    </row>
    <row r="659" spans="2:15" ht="12.75" customHeight="1" x14ac:dyDescent="0.1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1"/>
      <c r="O659" s="1"/>
    </row>
    <row r="660" spans="2:15" ht="12.75" customHeight="1" x14ac:dyDescent="0.1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1"/>
      <c r="O660" s="1"/>
    </row>
    <row r="661" spans="2:15" ht="12.75" customHeight="1" x14ac:dyDescent="0.1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1"/>
      <c r="O661" s="1"/>
    </row>
    <row r="662" spans="2:15" ht="12.75" customHeight="1" x14ac:dyDescent="0.1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1"/>
      <c r="O662" s="1"/>
    </row>
    <row r="663" spans="2:15" ht="12.75" customHeight="1" x14ac:dyDescent="0.1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1"/>
      <c r="O663" s="1"/>
    </row>
    <row r="664" spans="2:15" ht="12.75" customHeight="1" x14ac:dyDescent="0.1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1"/>
      <c r="O664" s="1"/>
    </row>
    <row r="665" spans="2:15" ht="12.75" customHeight="1" x14ac:dyDescent="0.1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1"/>
      <c r="O665" s="1"/>
    </row>
    <row r="666" spans="2:15" ht="12.75" customHeight="1" x14ac:dyDescent="0.1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1"/>
      <c r="O666" s="1"/>
    </row>
    <row r="667" spans="2:15" ht="12.75" customHeight="1" x14ac:dyDescent="0.1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1"/>
      <c r="O667" s="1"/>
    </row>
    <row r="668" spans="2:15" ht="12.75" customHeight="1" x14ac:dyDescent="0.1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1"/>
      <c r="O668" s="1"/>
    </row>
    <row r="669" spans="2:15" ht="12.75" customHeight="1" x14ac:dyDescent="0.1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1"/>
      <c r="O669" s="1"/>
    </row>
    <row r="670" spans="2:15" ht="12.75" customHeight="1" x14ac:dyDescent="0.1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1"/>
      <c r="O670" s="1"/>
    </row>
    <row r="671" spans="2:15" ht="12.75" customHeight="1" x14ac:dyDescent="0.1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1"/>
      <c r="O671" s="1"/>
    </row>
    <row r="672" spans="2:15" ht="12.75" customHeight="1" x14ac:dyDescent="0.1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1"/>
      <c r="O672" s="1"/>
    </row>
    <row r="673" spans="2:15" ht="12.75" customHeight="1" x14ac:dyDescent="0.1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1"/>
      <c r="O673" s="1"/>
    </row>
    <row r="674" spans="2:15" ht="12.75" customHeight="1" x14ac:dyDescent="0.1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1"/>
      <c r="O674" s="1"/>
    </row>
    <row r="675" spans="2:15" ht="12.75" customHeight="1" x14ac:dyDescent="0.1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1"/>
      <c r="O675" s="1"/>
    </row>
    <row r="676" spans="2:15" ht="12.75" customHeight="1" x14ac:dyDescent="0.1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1"/>
      <c r="O676" s="1"/>
    </row>
    <row r="677" spans="2:15" ht="12.75" customHeight="1" x14ac:dyDescent="0.1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1"/>
      <c r="O677" s="1"/>
    </row>
    <row r="678" spans="2:15" ht="12.75" customHeight="1" x14ac:dyDescent="0.1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1"/>
      <c r="O678" s="1"/>
    </row>
    <row r="679" spans="2:15" ht="12.75" customHeight="1" x14ac:dyDescent="0.1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1"/>
      <c r="O679" s="1"/>
    </row>
    <row r="680" spans="2:15" ht="12.75" customHeight="1" x14ac:dyDescent="0.1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1"/>
      <c r="O680" s="1"/>
    </row>
    <row r="681" spans="2:15" ht="12.75" customHeight="1" x14ac:dyDescent="0.1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1"/>
      <c r="O681" s="1"/>
    </row>
    <row r="682" spans="2:15" ht="12.75" customHeight="1" x14ac:dyDescent="0.1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1"/>
      <c r="O682" s="1"/>
    </row>
    <row r="683" spans="2:15" ht="12.75" customHeight="1" x14ac:dyDescent="0.1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1"/>
      <c r="O683" s="1"/>
    </row>
    <row r="684" spans="2:15" ht="12.75" customHeight="1" x14ac:dyDescent="0.1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1"/>
      <c r="O684" s="1"/>
    </row>
    <row r="685" spans="2:15" ht="12.75" customHeight="1" x14ac:dyDescent="0.1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1"/>
      <c r="O685" s="1"/>
    </row>
    <row r="686" spans="2:15" ht="12.75" customHeight="1" x14ac:dyDescent="0.1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1"/>
      <c r="O686" s="1"/>
    </row>
    <row r="687" spans="2:15" ht="12.75" customHeight="1" x14ac:dyDescent="0.1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1"/>
      <c r="O687" s="1"/>
    </row>
    <row r="688" spans="2:15" ht="12.75" customHeight="1" x14ac:dyDescent="0.1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1"/>
      <c r="O688" s="1"/>
    </row>
    <row r="689" spans="2:15" ht="12.75" customHeight="1" x14ac:dyDescent="0.1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1"/>
      <c r="O689" s="1"/>
    </row>
    <row r="690" spans="2:15" ht="12.75" customHeight="1" x14ac:dyDescent="0.1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1"/>
      <c r="O690" s="1"/>
    </row>
    <row r="691" spans="2:15" ht="12.75" customHeight="1" x14ac:dyDescent="0.1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1"/>
      <c r="O691" s="1"/>
    </row>
    <row r="692" spans="2:15" ht="12.75" customHeight="1" x14ac:dyDescent="0.1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1"/>
      <c r="O692" s="1"/>
    </row>
    <row r="693" spans="2:15" ht="12.75" customHeight="1" x14ac:dyDescent="0.1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1"/>
      <c r="O693" s="1"/>
    </row>
    <row r="694" spans="2:15" ht="12.75" customHeight="1" x14ac:dyDescent="0.1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1"/>
      <c r="O694" s="1"/>
    </row>
    <row r="695" spans="2:15" ht="12.75" customHeight="1" x14ac:dyDescent="0.1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1"/>
      <c r="O695" s="1"/>
    </row>
    <row r="696" spans="2:15" ht="12.75" customHeight="1" x14ac:dyDescent="0.1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1"/>
      <c r="O696" s="1"/>
    </row>
    <row r="697" spans="2:15" ht="12.75" customHeight="1" x14ac:dyDescent="0.1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1"/>
      <c r="O697" s="1"/>
    </row>
    <row r="698" spans="2:15" ht="12.75" customHeight="1" x14ac:dyDescent="0.1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1"/>
      <c r="O698" s="1"/>
    </row>
    <row r="699" spans="2:15" ht="12.75" customHeight="1" x14ac:dyDescent="0.1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1"/>
      <c r="O699" s="1"/>
    </row>
    <row r="700" spans="2:15" ht="12.75" customHeight="1" x14ac:dyDescent="0.1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1"/>
      <c r="O700" s="1"/>
    </row>
    <row r="701" spans="2:15" ht="12.75" customHeight="1" x14ac:dyDescent="0.1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1"/>
      <c r="O701" s="1"/>
    </row>
    <row r="702" spans="2:15" ht="12.75" customHeight="1" x14ac:dyDescent="0.1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1"/>
      <c r="O702" s="1"/>
    </row>
    <row r="703" spans="2:15" ht="12.75" customHeight="1" x14ac:dyDescent="0.1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1"/>
      <c r="O703" s="1"/>
    </row>
    <row r="704" spans="2:15" ht="12.75" customHeight="1" x14ac:dyDescent="0.1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1"/>
      <c r="O704" s="1"/>
    </row>
    <row r="705" spans="2:15" ht="12.75" customHeight="1" x14ac:dyDescent="0.1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1"/>
      <c r="O705" s="1"/>
    </row>
    <row r="706" spans="2:15" ht="12.75" customHeight="1" x14ac:dyDescent="0.1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1"/>
      <c r="O706" s="1"/>
    </row>
    <row r="707" spans="2:15" ht="12.75" customHeight="1" x14ac:dyDescent="0.1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1"/>
      <c r="O707" s="1"/>
    </row>
    <row r="708" spans="2:15" ht="12.75" customHeight="1" x14ac:dyDescent="0.1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1"/>
      <c r="O708" s="1"/>
    </row>
    <row r="709" spans="2:15" ht="12.75" customHeight="1" x14ac:dyDescent="0.1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1"/>
      <c r="O709" s="1"/>
    </row>
    <row r="710" spans="2:15" ht="12.75" customHeight="1" x14ac:dyDescent="0.1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1"/>
      <c r="O710" s="1"/>
    </row>
    <row r="711" spans="2:15" ht="12.75" customHeight="1" x14ac:dyDescent="0.1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1"/>
      <c r="O711" s="1"/>
    </row>
    <row r="712" spans="2:15" ht="12.75" customHeight="1" x14ac:dyDescent="0.1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1"/>
      <c r="O712" s="1"/>
    </row>
    <row r="713" spans="2:15" ht="12.75" customHeight="1" x14ac:dyDescent="0.1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1"/>
      <c r="O713" s="1"/>
    </row>
    <row r="714" spans="2:15" ht="12.75" customHeight="1" x14ac:dyDescent="0.1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1"/>
      <c r="O714" s="1"/>
    </row>
    <row r="715" spans="2:15" ht="12.75" customHeight="1" x14ac:dyDescent="0.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1"/>
      <c r="O715" s="1"/>
    </row>
    <row r="716" spans="2:15" ht="12.75" customHeight="1" x14ac:dyDescent="0.1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1"/>
      <c r="O716" s="1"/>
    </row>
    <row r="717" spans="2:15" ht="12.75" customHeight="1" x14ac:dyDescent="0.1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1"/>
      <c r="O717" s="1"/>
    </row>
    <row r="718" spans="2:15" ht="12.75" customHeight="1" x14ac:dyDescent="0.1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1"/>
      <c r="O718" s="1"/>
    </row>
    <row r="719" spans="2:15" ht="12.75" customHeight="1" x14ac:dyDescent="0.1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1"/>
      <c r="O719" s="1"/>
    </row>
    <row r="720" spans="2:15" ht="12.75" customHeight="1" x14ac:dyDescent="0.1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1"/>
      <c r="O720" s="1"/>
    </row>
    <row r="721" spans="2:15" ht="12.75" customHeight="1" x14ac:dyDescent="0.1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1"/>
      <c r="O721" s="1"/>
    </row>
    <row r="722" spans="2:15" ht="12.75" customHeight="1" x14ac:dyDescent="0.1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1"/>
      <c r="O722" s="1"/>
    </row>
    <row r="723" spans="2:15" ht="12.75" customHeight="1" x14ac:dyDescent="0.1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1"/>
      <c r="O723" s="1"/>
    </row>
    <row r="724" spans="2:15" ht="12.75" customHeight="1" x14ac:dyDescent="0.1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1"/>
      <c r="O724" s="1"/>
    </row>
    <row r="725" spans="2:15" ht="12.75" customHeight="1" x14ac:dyDescent="0.1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1"/>
      <c r="O725" s="1"/>
    </row>
    <row r="726" spans="2:15" ht="12.75" customHeight="1" x14ac:dyDescent="0.1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1"/>
      <c r="O726" s="1"/>
    </row>
    <row r="727" spans="2:15" ht="12.75" customHeight="1" x14ac:dyDescent="0.1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1"/>
      <c r="O727" s="1"/>
    </row>
    <row r="728" spans="2:15" ht="12.75" customHeight="1" x14ac:dyDescent="0.1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1"/>
      <c r="O728" s="1"/>
    </row>
    <row r="729" spans="2:15" ht="12.75" customHeight="1" x14ac:dyDescent="0.1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1"/>
      <c r="O729" s="1"/>
    </row>
    <row r="730" spans="2:15" ht="12.75" customHeight="1" x14ac:dyDescent="0.1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1"/>
      <c r="O730" s="1"/>
    </row>
    <row r="731" spans="2:15" ht="12.75" customHeight="1" x14ac:dyDescent="0.1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1"/>
      <c r="O731" s="1"/>
    </row>
    <row r="732" spans="2:15" ht="12.75" customHeight="1" x14ac:dyDescent="0.1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1"/>
      <c r="O732" s="1"/>
    </row>
    <row r="733" spans="2:15" ht="12.75" customHeight="1" x14ac:dyDescent="0.1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1"/>
      <c r="O733" s="1"/>
    </row>
    <row r="734" spans="2:15" ht="12.75" customHeight="1" x14ac:dyDescent="0.1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1"/>
      <c r="O734" s="1"/>
    </row>
    <row r="735" spans="2:15" ht="12.75" customHeight="1" x14ac:dyDescent="0.1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1"/>
      <c r="O735" s="1"/>
    </row>
    <row r="736" spans="2:15" ht="12.75" customHeight="1" x14ac:dyDescent="0.1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1"/>
      <c r="O736" s="1"/>
    </row>
    <row r="737" spans="2:15" ht="12.75" customHeight="1" x14ac:dyDescent="0.1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1"/>
      <c r="O737" s="1"/>
    </row>
    <row r="738" spans="2:15" ht="12.75" customHeight="1" x14ac:dyDescent="0.1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1"/>
      <c r="O738" s="1"/>
    </row>
    <row r="739" spans="2:15" ht="12.75" customHeight="1" x14ac:dyDescent="0.1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1"/>
      <c r="O739" s="1"/>
    </row>
    <row r="740" spans="2:15" ht="12.75" customHeight="1" x14ac:dyDescent="0.1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1"/>
      <c r="O740" s="1"/>
    </row>
    <row r="741" spans="2:15" ht="12.75" customHeight="1" x14ac:dyDescent="0.1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1"/>
      <c r="O741" s="1"/>
    </row>
    <row r="742" spans="2:15" ht="12.75" customHeight="1" x14ac:dyDescent="0.1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1"/>
      <c r="O742" s="1"/>
    </row>
    <row r="743" spans="2:15" ht="12.75" customHeight="1" x14ac:dyDescent="0.1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1"/>
      <c r="O743" s="1"/>
    </row>
    <row r="744" spans="2:15" ht="12.75" customHeight="1" x14ac:dyDescent="0.1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1"/>
      <c r="O744" s="1"/>
    </row>
    <row r="745" spans="2:15" ht="12.75" customHeight="1" x14ac:dyDescent="0.1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1"/>
      <c r="O745" s="1"/>
    </row>
    <row r="746" spans="2:15" ht="12.75" customHeight="1" x14ac:dyDescent="0.1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1"/>
      <c r="O746" s="1"/>
    </row>
    <row r="747" spans="2:15" ht="12.75" customHeight="1" x14ac:dyDescent="0.1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1"/>
      <c r="O747" s="1"/>
    </row>
    <row r="748" spans="2:15" ht="12.75" customHeight="1" x14ac:dyDescent="0.1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1"/>
      <c r="O748" s="1"/>
    </row>
    <row r="749" spans="2:15" ht="12.75" customHeight="1" x14ac:dyDescent="0.1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1"/>
      <c r="O749" s="1"/>
    </row>
    <row r="750" spans="2:15" ht="12.75" customHeight="1" x14ac:dyDescent="0.1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1"/>
      <c r="O750" s="1"/>
    </row>
    <row r="751" spans="2:15" ht="12.75" customHeight="1" x14ac:dyDescent="0.1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1"/>
      <c r="O751" s="1"/>
    </row>
    <row r="752" spans="2:15" ht="12.75" customHeight="1" x14ac:dyDescent="0.1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1"/>
      <c r="O752" s="1"/>
    </row>
    <row r="753" spans="2:15" ht="12.75" customHeight="1" x14ac:dyDescent="0.1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1"/>
      <c r="O753" s="1"/>
    </row>
    <row r="754" spans="2:15" ht="12.75" customHeight="1" x14ac:dyDescent="0.1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1"/>
      <c r="O754" s="1"/>
    </row>
    <row r="755" spans="2:15" ht="12.75" customHeight="1" x14ac:dyDescent="0.1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1"/>
      <c r="O755" s="1"/>
    </row>
    <row r="756" spans="2:15" ht="12.75" customHeight="1" x14ac:dyDescent="0.1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1"/>
      <c r="O756" s="1"/>
    </row>
    <row r="757" spans="2:15" ht="12.75" customHeight="1" x14ac:dyDescent="0.1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1"/>
      <c r="O757" s="1"/>
    </row>
    <row r="758" spans="2:15" ht="12.75" customHeight="1" x14ac:dyDescent="0.1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1"/>
      <c r="O758" s="1"/>
    </row>
    <row r="759" spans="2:15" ht="12.75" customHeight="1" x14ac:dyDescent="0.1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1"/>
      <c r="O759" s="1"/>
    </row>
    <row r="760" spans="2:15" ht="12.75" customHeight="1" x14ac:dyDescent="0.1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1"/>
      <c r="O760" s="1"/>
    </row>
    <row r="761" spans="2:15" ht="12.75" customHeight="1" x14ac:dyDescent="0.1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1"/>
      <c r="O761" s="1"/>
    </row>
    <row r="762" spans="2:15" ht="12.75" customHeight="1" x14ac:dyDescent="0.1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1"/>
      <c r="O762" s="1"/>
    </row>
    <row r="763" spans="2:15" ht="12.75" customHeight="1" x14ac:dyDescent="0.1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1"/>
      <c r="O763" s="1"/>
    </row>
    <row r="764" spans="2:15" ht="12.75" customHeight="1" x14ac:dyDescent="0.1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1"/>
      <c r="O764" s="1"/>
    </row>
    <row r="765" spans="2:15" ht="12.75" customHeight="1" x14ac:dyDescent="0.1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1"/>
      <c r="O765" s="1"/>
    </row>
    <row r="766" spans="2:15" ht="12.75" customHeight="1" x14ac:dyDescent="0.1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1"/>
      <c r="O766" s="1"/>
    </row>
    <row r="767" spans="2:15" ht="12.75" customHeight="1" x14ac:dyDescent="0.1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1"/>
      <c r="O767" s="1"/>
    </row>
    <row r="768" spans="2:15" ht="12.75" customHeight="1" x14ac:dyDescent="0.1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1"/>
      <c r="O768" s="1"/>
    </row>
    <row r="769" spans="2:15" ht="12.75" customHeight="1" x14ac:dyDescent="0.1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1"/>
      <c r="O769" s="1"/>
    </row>
    <row r="770" spans="2:15" ht="12.75" customHeight="1" x14ac:dyDescent="0.1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1"/>
      <c r="O770" s="1"/>
    </row>
    <row r="771" spans="2:15" ht="12.75" customHeight="1" x14ac:dyDescent="0.1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1"/>
      <c r="O771" s="1"/>
    </row>
    <row r="772" spans="2:15" ht="12.75" customHeight="1" x14ac:dyDescent="0.1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1"/>
      <c r="O772" s="1"/>
    </row>
    <row r="773" spans="2:15" ht="12.75" customHeight="1" x14ac:dyDescent="0.1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1"/>
      <c r="O773" s="1"/>
    </row>
    <row r="774" spans="2:15" ht="12.75" customHeight="1" x14ac:dyDescent="0.1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1"/>
      <c r="O774" s="1"/>
    </row>
    <row r="775" spans="2:15" ht="12.75" customHeight="1" x14ac:dyDescent="0.1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1"/>
      <c r="O775" s="1"/>
    </row>
    <row r="776" spans="2:15" ht="12.75" customHeight="1" x14ac:dyDescent="0.1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1"/>
      <c r="O776" s="1"/>
    </row>
    <row r="777" spans="2:15" ht="12.75" customHeight="1" x14ac:dyDescent="0.1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1"/>
      <c r="O777" s="1"/>
    </row>
    <row r="778" spans="2:15" ht="12.75" customHeight="1" x14ac:dyDescent="0.1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1"/>
      <c r="O778" s="1"/>
    </row>
    <row r="779" spans="2:15" ht="12.75" customHeight="1" x14ac:dyDescent="0.1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1"/>
      <c r="O779" s="1"/>
    </row>
    <row r="780" spans="2:15" ht="12.75" customHeight="1" x14ac:dyDescent="0.1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1"/>
      <c r="O780" s="1"/>
    </row>
    <row r="781" spans="2:15" ht="12.75" customHeight="1" x14ac:dyDescent="0.1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1"/>
      <c r="O781" s="1"/>
    </row>
    <row r="782" spans="2:15" ht="12.75" customHeight="1" x14ac:dyDescent="0.1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1"/>
      <c r="O782" s="1"/>
    </row>
    <row r="783" spans="2:15" ht="12.75" customHeight="1" x14ac:dyDescent="0.1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1"/>
      <c r="O783" s="1"/>
    </row>
    <row r="784" spans="2:15" ht="12.75" customHeight="1" x14ac:dyDescent="0.1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1"/>
      <c r="O784" s="1"/>
    </row>
    <row r="785" spans="2:15" ht="12.75" customHeight="1" x14ac:dyDescent="0.1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1"/>
      <c r="O785" s="1"/>
    </row>
    <row r="786" spans="2:15" ht="12.75" customHeight="1" x14ac:dyDescent="0.1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1"/>
      <c r="O786" s="1"/>
    </row>
    <row r="787" spans="2:15" ht="12.75" customHeight="1" x14ac:dyDescent="0.1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1"/>
      <c r="O787" s="1"/>
    </row>
    <row r="788" spans="2:15" ht="12.75" customHeight="1" x14ac:dyDescent="0.1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1"/>
      <c r="O788" s="1"/>
    </row>
    <row r="789" spans="2:15" ht="12.75" customHeight="1" x14ac:dyDescent="0.1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1"/>
      <c r="O789" s="1"/>
    </row>
    <row r="790" spans="2:15" ht="12.75" customHeight="1" x14ac:dyDescent="0.1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1"/>
      <c r="O790" s="1"/>
    </row>
    <row r="791" spans="2:15" ht="12.75" customHeight="1" x14ac:dyDescent="0.1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1"/>
      <c r="O791" s="1"/>
    </row>
    <row r="792" spans="2:15" ht="12.75" customHeight="1" x14ac:dyDescent="0.1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1"/>
      <c r="O792" s="1"/>
    </row>
    <row r="793" spans="2:15" ht="12.75" customHeight="1" x14ac:dyDescent="0.1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1"/>
      <c r="O793" s="1"/>
    </row>
    <row r="794" spans="2:15" ht="12.75" customHeight="1" x14ac:dyDescent="0.1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1"/>
      <c r="O794" s="1"/>
    </row>
    <row r="795" spans="2:15" ht="12.75" customHeight="1" x14ac:dyDescent="0.1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1"/>
      <c r="O795" s="1"/>
    </row>
    <row r="796" spans="2:15" ht="12.75" customHeight="1" x14ac:dyDescent="0.1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1"/>
      <c r="O796" s="1"/>
    </row>
    <row r="797" spans="2:15" ht="12.75" customHeight="1" x14ac:dyDescent="0.1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1"/>
      <c r="O797" s="1"/>
    </row>
    <row r="798" spans="2:15" ht="12.75" customHeight="1" x14ac:dyDescent="0.1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1"/>
      <c r="O798" s="1"/>
    </row>
    <row r="799" spans="2:15" ht="12.75" customHeight="1" x14ac:dyDescent="0.1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1"/>
      <c r="O799" s="1"/>
    </row>
    <row r="800" spans="2:15" ht="12.75" customHeight="1" x14ac:dyDescent="0.1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1"/>
      <c r="O800" s="1"/>
    </row>
    <row r="801" spans="2:15" ht="12.75" customHeight="1" x14ac:dyDescent="0.1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1"/>
      <c r="O801" s="1"/>
    </row>
    <row r="802" spans="2:15" ht="12.75" customHeight="1" x14ac:dyDescent="0.1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1"/>
      <c r="O802" s="1"/>
    </row>
    <row r="803" spans="2:15" ht="12.75" customHeight="1" x14ac:dyDescent="0.1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1"/>
      <c r="O803" s="1"/>
    </row>
    <row r="804" spans="2:15" ht="12.75" customHeight="1" x14ac:dyDescent="0.1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1"/>
      <c r="O804" s="1"/>
    </row>
    <row r="805" spans="2:15" ht="12.75" customHeight="1" x14ac:dyDescent="0.1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1"/>
      <c r="O805" s="1"/>
    </row>
    <row r="806" spans="2:15" ht="12.75" customHeight="1" x14ac:dyDescent="0.1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1"/>
      <c r="O806" s="1"/>
    </row>
    <row r="807" spans="2:15" ht="12.75" customHeight="1" x14ac:dyDescent="0.1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1"/>
      <c r="O807" s="1"/>
    </row>
    <row r="808" spans="2:15" ht="12.75" customHeight="1" x14ac:dyDescent="0.1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1"/>
      <c r="O808" s="1"/>
    </row>
    <row r="809" spans="2:15" ht="12.75" customHeight="1" x14ac:dyDescent="0.1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1"/>
      <c r="O809" s="1"/>
    </row>
    <row r="810" spans="2:15" ht="12.75" customHeight="1" x14ac:dyDescent="0.1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1"/>
      <c r="O810" s="1"/>
    </row>
    <row r="811" spans="2:15" ht="12.75" customHeight="1" x14ac:dyDescent="0.1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1"/>
      <c r="O811" s="1"/>
    </row>
    <row r="812" spans="2:15" ht="12.75" customHeight="1" x14ac:dyDescent="0.1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1"/>
      <c r="O812" s="1"/>
    </row>
    <row r="813" spans="2:15" ht="12.75" customHeight="1" x14ac:dyDescent="0.1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1"/>
      <c r="O813" s="1"/>
    </row>
    <row r="814" spans="2:15" ht="12.75" customHeight="1" x14ac:dyDescent="0.1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1"/>
      <c r="O814" s="1"/>
    </row>
    <row r="815" spans="2:15" ht="12.75" customHeight="1" x14ac:dyDescent="0.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1"/>
      <c r="O815" s="1"/>
    </row>
    <row r="816" spans="2:15" ht="12.75" customHeight="1" x14ac:dyDescent="0.1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1"/>
      <c r="O816" s="1"/>
    </row>
    <row r="817" spans="2:15" ht="12.75" customHeight="1" x14ac:dyDescent="0.1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1"/>
      <c r="O817" s="1"/>
    </row>
    <row r="818" spans="2:15" ht="12.75" customHeight="1" x14ac:dyDescent="0.1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1"/>
      <c r="O818" s="1"/>
    </row>
    <row r="819" spans="2:15" ht="12.75" customHeight="1" x14ac:dyDescent="0.1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1"/>
      <c r="O819" s="1"/>
    </row>
    <row r="820" spans="2:15" ht="12.75" customHeight="1" x14ac:dyDescent="0.1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1"/>
      <c r="O820" s="1"/>
    </row>
    <row r="821" spans="2:15" ht="12.75" customHeight="1" x14ac:dyDescent="0.1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1"/>
      <c r="O821" s="1"/>
    </row>
    <row r="822" spans="2:15" ht="12.75" customHeight="1" x14ac:dyDescent="0.1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1"/>
      <c r="O822" s="1"/>
    </row>
    <row r="823" spans="2:15" ht="12.75" customHeight="1" x14ac:dyDescent="0.1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1"/>
      <c r="O823" s="1"/>
    </row>
    <row r="824" spans="2:15" ht="12.75" customHeight="1" x14ac:dyDescent="0.1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1"/>
      <c r="O824" s="1"/>
    </row>
    <row r="825" spans="2:15" ht="12.75" customHeight="1" x14ac:dyDescent="0.1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1"/>
      <c r="O825" s="1"/>
    </row>
    <row r="826" spans="2:15" ht="12.75" customHeight="1" x14ac:dyDescent="0.1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1"/>
      <c r="O826" s="1"/>
    </row>
    <row r="827" spans="2:15" ht="12.75" customHeight="1" x14ac:dyDescent="0.1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1"/>
      <c r="O827" s="1"/>
    </row>
    <row r="828" spans="2:15" ht="12.75" customHeight="1" x14ac:dyDescent="0.1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1"/>
      <c r="O828" s="1"/>
    </row>
    <row r="829" spans="2:15" ht="12.75" customHeight="1" x14ac:dyDescent="0.1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1"/>
      <c r="O829" s="1"/>
    </row>
    <row r="830" spans="2:15" ht="12.75" customHeight="1" x14ac:dyDescent="0.1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1"/>
      <c r="O830" s="1"/>
    </row>
    <row r="831" spans="2:15" ht="12.75" customHeight="1" x14ac:dyDescent="0.1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1"/>
      <c r="O831" s="1"/>
    </row>
    <row r="832" spans="2:15" ht="12.75" customHeight="1" x14ac:dyDescent="0.1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1"/>
      <c r="O832" s="1"/>
    </row>
    <row r="833" spans="2:15" ht="12.75" customHeight="1" x14ac:dyDescent="0.1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1"/>
      <c r="O833" s="1"/>
    </row>
    <row r="834" spans="2:15" ht="12.75" customHeight="1" x14ac:dyDescent="0.1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1"/>
      <c r="O834" s="1"/>
    </row>
    <row r="835" spans="2:15" ht="12.75" customHeight="1" x14ac:dyDescent="0.1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1"/>
      <c r="O835" s="1"/>
    </row>
    <row r="836" spans="2:15" ht="12.75" customHeight="1" x14ac:dyDescent="0.1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1"/>
      <c r="O836" s="1"/>
    </row>
    <row r="837" spans="2:15" ht="12.75" customHeight="1" x14ac:dyDescent="0.1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1"/>
      <c r="O837" s="1"/>
    </row>
    <row r="838" spans="2:15" ht="12.75" customHeight="1" x14ac:dyDescent="0.1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1"/>
      <c r="O838" s="1"/>
    </row>
    <row r="839" spans="2:15" ht="12.75" customHeight="1" x14ac:dyDescent="0.1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1"/>
      <c r="O839" s="1"/>
    </row>
    <row r="840" spans="2:15" ht="12.75" customHeight="1" x14ac:dyDescent="0.1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1"/>
      <c r="O840" s="1"/>
    </row>
    <row r="841" spans="2:15" ht="12.75" customHeight="1" x14ac:dyDescent="0.1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1"/>
      <c r="O841" s="1"/>
    </row>
    <row r="842" spans="2:15" ht="12.75" customHeight="1" x14ac:dyDescent="0.1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1"/>
      <c r="O842" s="1"/>
    </row>
    <row r="843" spans="2:15" ht="12.75" customHeight="1" x14ac:dyDescent="0.1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1"/>
      <c r="O843" s="1"/>
    </row>
    <row r="844" spans="2:15" ht="12.75" customHeight="1" x14ac:dyDescent="0.1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1"/>
      <c r="O844" s="1"/>
    </row>
    <row r="845" spans="2:15" ht="12.75" customHeight="1" x14ac:dyDescent="0.1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1"/>
      <c r="O845" s="1"/>
    </row>
    <row r="846" spans="2:15" ht="12.75" customHeight="1" x14ac:dyDescent="0.1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1"/>
      <c r="O846" s="1"/>
    </row>
    <row r="847" spans="2:15" ht="12.75" customHeight="1" x14ac:dyDescent="0.1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1"/>
      <c r="O847" s="1"/>
    </row>
    <row r="848" spans="2:15" ht="12.75" customHeight="1" x14ac:dyDescent="0.1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1"/>
      <c r="O848" s="1"/>
    </row>
    <row r="849" spans="2:15" ht="12.75" customHeight="1" x14ac:dyDescent="0.1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1"/>
      <c r="O849" s="1"/>
    </row>
    <row r="850" spans="2:15" ht="12.75" customHeight="1" x14ac:dyDescent="0.1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1"/>
      <c r="O850" s="1"/>
    </row>
    <row r="851" spans="2:15" ht="12.75" customHeight="1" x14ac:dyDescent="0.1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1"/>
      <c r="O851" s="1"/>
    </row>
    <row r="852" spans="2:15" ht="12.75" customHeight="1" x14ac:dyDescent="0.1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1"/>
      <c r="O852" s="1"/>
    </row>
    <row r="853" spans="2:15" ht="12.75" customHeight="1" x14ac:dyDescent="0.1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1"/>
      <c r="O853" s="1"/>
    </row>
    <row r="854" spans="2:15" ht="12.75" customHeight="1" x14ac:dyDescent="0.1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1"/>
      <c r="O854" s="1"/>
    </row>
    <row r="855" spans="2:15" ht="12.75" customHeight="1" x14ac:dyDescent="0.1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1"/>
      <c r="O855" s="1"/>
    </row>
    <row r="856" spans="2:15" ht="12.75" customHeight="1" x14ac:dyDescent="0.1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1"/>
      <c r="O856" s="1"/>
    </row>
    <row r="857" spans="2:15" ht="12.75" customHeight="1" x14ac:dyDescent="0.1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1"/>
      <c r="O857" s="1"/>
    </row>
    <row r="858" spans="2:15" ht="12.75" customHeight="1" x14ac:dyDescent="0.1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1"/>
      <c r="O858" s="1"/>
    </row>
    <row r="859" spans="2:15" ht="12.75" customHeight="1" x14ac:dyDescent="0.1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1"/>
      <c r="O859" s="1"/>
    </row>
    <row r="860" spans="2:15" ht="12.75" customHeight="1" x14ac:dyDescent="0.1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1"/>
      <c r="O860" s="1"/>
    </row>
    <row r="861" spans="2:15" ht="12.75" customHeight="1" x14ac:dyDescent="0.1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1"/>
      <c r="O861" s="1"/>
    </row>
    <row r="862" spans="2:15" ht="12.75" customHeight="1" x14ac:dyDescent="0.1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1"/>
      <c r="O862" s="1"/>
    </row>
    <row r="863" spans="2:15" ht="12.75" customHeight="1" x14ac:dyDescent="0.1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1"/>
      <c r="O863" s="1"/>
    </row>
    <row r="864" spans="2:15" ht="12.75" customHeight="1" x14ac:dyDescent="0.1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1"/>
      <c r="O864" s="1"/>
    </row>
    <row r="865" spans="2:15" ht="12.75" customHeight="1" x14ac:dyDescent="0.1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1"/>
      <c r="O865" s="1"/>
    </row>
    <row r="866" spans="2:15" ht="12.75" customHeight="1" x14ac:dyDescent="0.1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1"/>
      <c r="O866" s="1"/>
    </row>
    <row r="867" spans="2:15" ht="12.75" customHeight="1" x14ac:dyDescent="0.1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1"/>
      <c r="O867" s="1"/>
    </row>
    <row r="868" spans="2:15" ht="12.75" customHeight="1" x14ac:dyDescent="0.1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1"/>
      <c r="O868" s="1"/>
    </row>
    <row r="869" spans="2:15" ht="12.75" customHeight="1" x14ac:dyDescent="0.1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1"/>
      <c r="O869" s="1"/>
    </row>
    <row r="870" spans="2:15" ht="12.75" customHeight="1" x14ac:dyDescent="0.1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1"/>
      <c r="O870" s="1"/>
    </row>
    <row r="871" spans="2:15" ht="12.75" customHeight="1" x14ac:dyDescent="0.1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1"/>
      <c r="O871" s="1"/>
    </row>
    <row r="872" spans="2:15" ht="12.75" customHeight="1" x14ac:dyDescent="0.1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1"/>
      <c r="O872" s="1"/>
    </row>
    <row r="873" spans="2:15" ht="12.75" customHeight="1" x14ac:dyDescent="0.1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1"/>
      <c r="O873" s="1"/>
    </row>
    <row r="874" spans="2:15" ht="12.75" customHeight="1" x14ac:dyDescent="0.1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1"/>
      <c r="O874" s="1"/>
    </row>
    <row r="875" spans="2:15" ht="12.75" customHeight="1" x14ac:dyDescent="0.1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1"/>
      <c r="O875" s="1"/>
    </row>
    <row r="876" spans="2:15" ht="12.75" customHeight="1" x14ac:dyDescent="0.1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1"/>
      <c r="O876" s="1"/>
    </row>
    <row r="877" spans="2:15" ht="12.75" customHeight="1" x14ac:dyDescent="0.1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1"/>
      <c r="O877" s="1"/>
    </row>
    <row r="878" spans="2:15" ht="12.75" customHeight="1" x14ac:dyDescent="0.1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1"/>
      <c r="O878" s="1"/>
    </row>
    <row r="879" spans="2:15" ht="12.75" customHeight="1" x14ac:dyDescent="0.1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1"/>
      <c r="O879" s="1"/>
    </row>
    <row r="880" spans="2:15" ht="12.75" customHeight="1" x14ac:dyDescent="0.1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1"/>
      <c r="O880" s="1"/>
    </row>
    <row r="881" spans="2:15" ht="12.75" customHeight="1" x14ac:dyDescent="0.1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1"/>
      <c r="O881" s="1"/>
    </row>
    <row r="882" spans="2:15" ht="12.75" customHeight="1" x14ac:dyDescent="0.1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1"/>
      <c r="O882" s="1"/>
    </row>
    <row r="883" spans="2:15" ht="12.75" customHeight="1" x14ac:dyDescent="0.1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1"/>
      <c r="O883" s="1"/>
    </row>
    <row r="884" spans="2:15" ht="12.75" customHeight="1" x14ac:dyDescent="0.1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1"/>
      <c r="O884" s="1"/>
    </row>
    <row r="885" spans="2:15" ht="12.75" customHeight="1" x14ac:dyDescent="0.1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1"/>
      <c r="O885" s="1"/>
    </row>
    <row r="886" spans="2:15" ht="12.75" customHeight="1" x14ac:dyDescent="0.1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1"/>
      <c r="O886" s="1"/>
    </row>
    <row r="887" spans="2:15" ht="12.75" customHeight="1" x14ac:dyDescent="0.1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1"/>
      <c r="O887" s="1"/>
    </row>
    <row r="888" spans="2:15" ht="12.75" customHeight="1" x14ac:dyDescent="0.1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1"/>
      <c r="O888" s="1"/>
    </row>
    <row r="889" spans="2:15" ht="12.75" customHeight="1" x14ac:dyDescent="0.1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1"/>
      <c r="O889" s="1"/>
    </row>
    <row r="890" spans="2:15" ht="12.75" customHeight="1" x14ac:dyDescent="0.1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1"/>
      <c r="O890" s="1"/>
    </row>
    <row r="891" spans="2:15" ht="12.75" customHeight="1" x14ac:dyDescent="0.1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1"/>
      <c r="O891" s="1"/>
    </row>
    <row r="892" spans="2:15" ht="12.75" customHeight="1" x14ac:dyDescent="0.1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1"/>
      <c r="O892" s="1"/>
    </row>
    <row r="893" spans="2:15" ht="12.75" customHeight="1" x14ac:dyDescent="0.1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1"/>
      <c r="O893" s="1"/>
    </row>
    <row r="894" spans="2:15" ht="12.75" customHeight="1" x14ac:dyDescent="0.1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1"/>
      <c r="O894" s="1"/>
    </row>
    <row r="895" spans="2:15" ht="12.75" customHeight="1" x14ac:dyDescent="0.1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1"/>
      <c r="O895" s="1"/>
    </row>
    <row r="896" spans="2:15" ht="12.75" customHeight="1" x14ac:dyDescent="0.1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1"/>
      <c r="O896" s="1"/>
    </row>
    <row r="897" spans="2:15" ht="12.75" customHeight="1" x14ac:dyDescent="0.1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1"/>
      <c r="O897" s="1"/>
    </row>
    <row r="898" spans="2:15" ht="12.75" customHeight="1" x14ac:dyDescent="0.1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1"/>
      <c r="O898" s="1"/>
    </row>
    <row r="899" spans="2:15" ht="12.75" customHeight="1" x14ac:dyDescent="0.1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1"/>
      <c r="O899" s="1"/>
    </row>
    <row r="900" spans="2:15" ht="12.75" customHeight="1" x14ac:dyDescent="0.1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1"/>
      <c r="O900" s="1"/>
    </row>
    <row r="901" spans="2:15" ht="12.75" customHeight="1" x14ac:dyDescent="0.1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1"/>
      <c r="O901" s="1"/>
    </row>
    <row r="902" spans="2:15" ht="12.75" customHeight="1" x14ac:dyDescent="0.1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1"/>
      <c r="O902" s="1"/>
    </row>
    <row r="903" spans="2:15" ht="12.75" customHeight="1" x14ac:dyDescent="0.1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1"/>
      <c r="O903" s="1"/>
    </row>
    <row r="904" spans="2:15" ht="12.75" customHeight="1" x14ac:dyDescent="0.1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1"/>
      <c r="O904" s="1"/>
    </row>
    <row r="905" spans="2:15" ht="12.75" customHeight="1" x14ac:dyDescent="0.1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1"/>
      <c r="O905" s="1"/>
    </row>
    <row r="906" spans="2:15" ht="12.75" customHeight="1" x14ac:dyDescent="0.1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1"/>
      <c r="O906" s="1"/>
    </row>
    <row r="907" spans="2:15" ht="12.75" customHeight="1" x14ac:dyDescent="0.1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1"/>
      <c r="O907" s="1"/>
    </row>
    <row r="908" spans="2:15" ht="12.75" customHeight="1" x14ac:dyDescent="0.1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1"/>
      <c r="O908" s="1"/>
    </row>
    <row r="909" spans="2:15" ht="12.75" customHeight="1" x14ac:dyDescent="0.1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1"/>
      <c r="O909" s="1"/>
    </row>
    <row r="910" spans="2:15" ht="12.75" customHeight="1" x14ac:dyDescent="0.1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1"/>
      <c r="O910" s="1"/>
    </row>
    <row r="911" spans="2:15" ht="12.75" customHeight="1" x14ac:dyDescent="0.1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1"/>
      <c r="O911" s="1"/>
    </row>
    <row r="912" spans="2:15" ht="12.75" customHeight="1" x14ac:dyDescent="0.1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1"/>
      <c r="O912" s="1"/>
    </row>
    <row r="913" spans="2:15" ht="12.75" customHeight="1" x14ac:dyDescent="0.1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1"/>
      <c r="O913" s="1"/>
    </row>
    <row r="914" spans="2:15" ht="12.75" customHeight="1" x14ac:dyDescent="0.1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1"/>
      <c r="O914" s="1"/>
    </row>
    <row r="915" spans="2:15" ht="12.75" customHeight="1" x14ac:dyDescent="0.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1"/>
      <c r="O915" s="1"/>
    </row>
    <row r="916" spans="2:15" ht="12.75" customHeight="1" x14ac:dyDescent="0.1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1"/>
      <c r="O916" s="1"/>
    </row>
    <row r="917" spans="2:15" ht="12.75" customHeight="1" x14ac:dyDescent="0.1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1"/>
      <c r="O917" s="1"/>
    </row>
    <row r="918" spans="2:15" ht="12.75" customHeight="1" x14ac:dyDescent="0.1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1"/>
      <c r="O918" s="1"/>
    </row>
    <row r="919" spans="2:15" ht="12.75" customHeight="1" x14ac:dyDescent="0.1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1"/>
      <c r="O919" s="1"/>
    </row>
    <row r="920" spans="2:15" ht="12.75" customHeight="1" x14ac:dyDescent="0.1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1"/>
      <c r="O920" s="1"/>
    </row>
    <row r="921" spans="2:15" ht="12.75" customHeight="1" x14ac:dyDescent="0.1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1"/>
      <c r="O921" s="1"/>
    </row>
    <row r="922" spans="2:15" ht="12.75" customHeight="1" x14ac:dyDescent="0.1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1"/>
      <c r="O922" s="1"/>
    </row>
    <row r="923" spans="2:15" ht="12.75" customHeight="1" x14ac:dyDescent="0.1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1"/>
      <c r="O923" s="1"/>
    </row>
    <row r="924" spans="2:15" ht="12.75" customHeight="1" x14ac:dyDescent="0.1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1"/>
      <c r="O924" s="1"/>
    </row>
    <row r="925" spans="2:15" ht="12.75" customHeight="1" x14ac:dyDescent="0.1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1"/>
      <c r="O925" s="1"/>
    </row>
    <row r="926" spans="2:15" ht="12.75" customHeight="1" x14ac:dyDescent="0.1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1"/>
      <c r="O926" s="1"/>
    </row>
    <row r="927" spans="2:15" ht="12.75" customHeight="1" x14ac:dyDescent="0.1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1"/>
      <c r="O927" s="1"/>
    </row>
    <row r="928" spans="2:15" ht="12.75" customHeight="1" x14ac:dyDescent="0.1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1"/>
      <c r="O928" s="1"/>
    </row>
    <row r="929" spans="2:15" ht="12.75" customHeight="1" x14ac:dyDescent="0.1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1"/>
      <c r="O929" s="1"/>
    </row>
    <row r="930" spans="2:15" ht="12.75" customHeight="1" x14ac:dyDescent="0.1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1"/>
      <c r="O930" s="1"/>
    </row>
    <row r="931" spans="2:15" ht="12.75" customHeight="1" x14ac:dyDescent="0.1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1"/>
      <c r="O931" s="1"/>
    </row>
    <row r="932" spans="2:15" ht="12.75" customHeight="1" x14ac:dyDescent="0.1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1"/>
      <c r="O932" s="1"/>
    </row>
    <row r="933" spans="2:15" ht="12.75" customHeight="1" x14ac:dyDescent="0.1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1"/>
      <c r="O933" s="1"/>
    </row>
    <row r="934" spans="2:15" ht="12.75" customHeight="1" x14ac:dyDescent="0.1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1"/>
      <c r="O934" s="1"/>
    </row>
    <row r="935" spans="2:15" ht="12.75" customHeight="1" x14ac:dyDescent="0.1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1"/>
      <c r="O935" s="1"/>
    </row>
    <row r="936" spans="2:15" ht="12.75" customHeight="1" x14ac:dyDescent="0.1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1"/>
      <c r="O936" s="1"/>
    </row>
    <row r="937" spans="2:15" ht="12.75" customHeight="1" x14ac:dyDescent="0.1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1"/>
      <c r="O937" s="1"/>
    </row>
    <row r="938" spans="2:15" ht="12.75" customHeight="1" x14ac:dyDescent="0.1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1"/>
      <c r="O938" s="1"/>
    </row>
    <row r="939" spans="2:15" ht="12.75" customHeight="1" x14ac:dyDescent="0.1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1"/>
      <c r="O939" s="1"/>
    </row>
    <row r="940" spans="2:15" ht="12.75" customHeight="1" x14ac:dyDescent="0.1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1"/>
      <c r="O940" s="1"/>
    </row>
    <row r="941" spans="2:15" ht="12.75" customHeight="1" x14ac:dyDescent="0.1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1"/>
      <c r="O941" s="1"/>
    </row>
    <row r="942" spans="2:15" ht="12.75" customHeight="1" x14ac:dyDescent="0.1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1"/>
      <c r="O942" s="1"/>
    </row>
    <row r="943" spans="2:15" ht="12.75" customHeight="1" x14ac:dyDescent="0.1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1"/>
      <c r="O943" s="1"/>
    </row>
    <row r="944" spans="2:15" ht="12.75" customHeight="1" x14ac:dyDescent="0.1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1"/>
      <c r="O944" s="1"/>
    </row>
    <row r="945" spans="2:15" ht="12.75" customHeight="1" x14ac:dyDescent="0.1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1"/>
      <c r="O945" s="1"/>
    </row>
    <row r="946" spans="2:15" ht="12.75" customHeight="1" x14ac:dyDescent="0.1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1"/>
      <c r="O946" s="1"/>
    </row>
    <row r="947" spans="2:15" ht="12.75" customHeight="1" x14ac:dyDescent="0.1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1"/>
      <c r="O947" s="1"/>
    </row>
    <row r="948" spans="2:15" ht="12.75" customHeight="1" x14ac:dyDescent="0.1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1"/>
      <c r="O948" s="1"/>
    </row>
    <row r="949" spans="2:15" ht="12.75" customHeight="1" x14ac:dyDescent="0.1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1"/>
      <c r="O949" s="1"/>
    </row>
    <row r="950" spans="2:15" ht="12.75" customHeight="1" x14ac:dyDescent="0.1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1"/>
      <c r="O950" s="1"/>
    </row>
    <row r="951" spans="2:15" ht="12.75" customHeight="1" x14ac:dyDescent="0.1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1"/>
      <c r="O951" s="1"/>
    </row>
    <row r="952" spans="2:15" ht="12.75" customHeight="1" x14ac:dyDescent="0.1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1"/>
      <c r="O952" s="1"/>
    </row>
    <row r="953" spans="2:15" ht="12.75" customHeight="1" x14ac:dyDescent="0.1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1"/>
      <c r="O953" s="1"/>
    </row>
    <row r="954" spans="2:15" ht="12.75" customHeight="1" x14ac:dyDescent="0.1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1"/>
      <c r="O954" s="1"/>
    </row>
    <row r="955" spans="2:15" ht="12.75" customHeight="1" x14ac:dyDescent="0.1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1"/>
      <c r="O955" s="1"/>
    </row>
    <row r="956" spans="2:15" ht="12.75" customHeight="1" x14ac:dyDescent="0.1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1"/>
      <c r="O956" s="1"/>
    </row>
    <row r="957" spans="2:15" ht="12.75" customHeight="1" x14ac:dyDescent="0.1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1"/>
      <c r="O957" s="1"/>
    </row>
    <row r="958" spans="2:15" ht="12.75" customHeight="1" x14ac:dyDescent="0.1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1"/>
      <c r="O958" s="1"/>
    </row>
    <row r="959" spans="2:15" ht="12.75" customHeight="1" x14ac:dyDescent="0.1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1"/>
      <c r="O959" s="1"/>
    </row>
    <row r="960" spans="2:15" ht="12.75" customHeight="1" x14ac:dyDescent="0.1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1"/>
      <c r="O960" s="1"/>
    </row>
    <row r="961" spans="2:15" ht="12.75" customHeight="1" x14ac:dyDescent="0.1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1"/>
      <c r="O961" s="1"/>
    </row>
    <row r="962" spans="2:15" ht="12.75" customHeight="1" x14ac:dyDescent="0.1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1"/>
      <c r="O962" s="1"/>
    </row>
    <row r="963" spans="2:15" ht="12.75" customHeight="1" x14ac:dyDescent="0.1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1"/>
      <c r="O963" s="1"/>
    </row>
    <row r="964" spans="2:15" ht="12.75" customHeight="1" x14ac:dyDescent="0.1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1"/>
      <c r="O964" s="1"/>
    </row>
    <row r="965" spans="2:15" ht="12.75" customHeight="1" x14ac:dyDescent="0.1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1"/>
      <c r="O965" s="1"/>
    </row>
    <row r="966" spans="2:15" ht="12.75" customHeight="1" x14ac:dyDescent="0.1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1"/>
      <c r="O966" s="1"/>
    </row>
    <row r="967" spans="2:15" ht="12.75" customHeight="1" x14ac:dyDescent="0.1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1"/>
      <c r="O967" s="1"/>
    </row>
    <row r="968" spans="2:15" ht="12.75" customHeight="1" x14ac:dyDescent="0.1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1"/>
      <c r="O968" s="1"/>
    </row>
    <row r="969" spans="2:15" ht="12.75" customHeight="1" x14ac:dyDescent="0.1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1"/>
      <c r="O969" s="1"/>
    </row>
    <row r="970" spans="2:15" ht="12.75" customHeight="1" x14ac:dyDescent="0.1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1"/>
      <c r="O970" s="1"/>
    </row>
    <row r="971" spans="2:15" ht="12.75" customHeight="1" x14ac:dyDescent="0.1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1"/>
      <c r="O971" s="1"/>
    </row>
    <row r="972" spans="2:15" ht="12.75" customHeight="1" x14ac:dyDescent="0.1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1"/>
      <c r="O972" s="1"/>
    </row>
    <row r="973" spans="2:15" ht="12.75" customHeight="1" x14ac:dyDescent="0.1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1"/>
      <c r="O973" s="1"/>
    </row>
    <row r="974" spans="2:15" ht="12.75" customHeight="1" x14ac:dyDescent="0.1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1"/>
      <c r="O974" s="1"/>
    </row>
    <row r="975" spans="2:15" ht="12.75" customHeight="1" x14ac:dyDescent="0.1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1"/>
      <c r="O975" s="1"/>
    </row>
    <row r="976" spans="2:15" ht="12.75" customHeight="1" x14ac:dyDescent="0.1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1"/>
      <c r="O976" s="1"/>
    </row>
    <row r="977" spans="2:15" ht="12.75" customHeight="1" x14ac:dyDescent="0.1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1"/>
      <c r="O977" s="1"/>
    </row>
    <row r="978" spans="2:15" ht="12.75" customHeight="1" x14ac:dyDescent="0.1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1"/>
      <c r="O978" s="1"/>
    </row>
    <row r="979" spans="2:15" ht="12.75" customHeight="1" x14ac:dyDescent="0.1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1"/>
      <c r="O979" s="1"/>
    </row>
    <row r="980" spans="2:15" ht="12.75" customHeight="1" x14ac:dyDescent="0.1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1"/>
      <c r="O980" s="1"/>
    </row>
    <row r="981" spans="2:15" ht="12.75" customHeight="1" x14ac:dyDescent="0.1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1"/>
      <c r="O981" s="1"/>
    </row>
    <row r="982" spans="2:15" ht="12.75" customHeight="1" x14ac:dyDescent="0.1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1"/>
      <c r="O982" s="1"/>
    </row>
    <row r="983" spans="2:15" ht="12.75" customHeight="1" x14ac:dyDescent="0.1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1"/>
      <c r="O983" s="1"/>
    </row>
    <row r="984" spans="2:15" ht="12.75" customHeight="1" x14ac:dyDescent="0.1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1"/>
      <c r="O984" s="1"/>
    </row>
    <row r="985" spans="2:15" ht="12.75" customHeight="1" x14ac:dyDescent="0.1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1"/>
      <c r="O985" s="1"/>
    </row>
    <row r="986" spans="2:15" ht="12.75" customHeight="1" x14ac:dyDescent="0.1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1"/>
      <c r="O986" s="1"/>
    </row>
    <row r="987" spans="2:15" ht="12.75" customHeight="1" x14ac:dyDescent="0.1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1"/>
      <c r="O987" s="1"/>
    </row>
    <row r="988" spans="2:15" ht="12.75" customHeight="1" x14ac:dyDescent="0.1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1"/>
      <c r="O988" s="1"/>
    </row>
    <row r="989" spans="2:15" ht="12.75" customHeight="1" x14ac:dyDescent="0.1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1"/>
      <c r="O989" s="1"/>
    </row>
    <row r="990" spans="2:15" ht="12.75" customHeight="1" x14ac:dyDescent="0.1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1"/>
      <c r="O990" s="1"/>
    </row>
    <row r="991" spans="2:15" ht="12.75" customHeight="1" x14ac:dyDescent="0.1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1"/>
      <c r="O991" s="1"/>
    </row>
    <row r="992" spans="2:15" ht="12.75" customHeight="1" x14ac:dyDescent="0.1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1"/>
      <c r="O992" s="1"/>
    </row>
    <row r="993" spans="2:15" ht="12.75" customHeight="1" x14ac:dyDescent="0.1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1"/>
      <c r="O993" s="1"/>
    </row>
    <row r="994" spans="2:15" ht="12.75" customHeight="1" x14ac:dyDescent="0.1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1"/>
      <c r="O994" s="1"/>
    </row>
    <row r="995" spans="2:15" ht="12.75" customHeight="1" x14ac:dyDescent="0.1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1"/>
      <c r="O995" s="1"/>
    </row>
    <row r="996" spans="2:15" ht="12.75" customHeight="1" x14ac:dyDescent="0.1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1"/>
      <c r="O996" s="1"/>
    </row>
    <row r="997" spans="2:15" ht="12.75" customHeight="1" x14ac:dyDescent="0.1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1"/>
      <c r="O997" s="1"/>
    </row>
    <row r="998" spans="2:15" ht="12.75" customHeight="1" x14ac:dyDescent="0.1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1"/>
      <c r="O998" s="1"/>
    </row>
  </sheetData>
  <pageMargins left="0.7" right="0.7" top="0.75" bottom="0.75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NOTE!$B$31:$B$35</xm:f>
          </x14:formula1>
          <xm:sqref>D4:D69</xm:sqref>
        </x14:dataValidation>
        <x14:dataValidation type="list" allowBlank="1" showErrorMessage="1" xr:uid="{00000000-0002-0000-0000-000001000000}">
          <x14:formula1>
            <xm:f>NOTE!$B$4:$B$7</xm:f>
          </x14:formula1>
          <xm:sqref>E5:E69 N57:N69</xm:sqref>
        </x14:dataValidation>
        <x14:dataValidation type="list" allowBlank="1" showErrorMessage="1" xr:uid="{00000000-0002-0000-0000-000002000000}">
          <x14:formula1>
            <xm:f>NOTE!$B$16:$B$27</xm:f>
          </x14:formula1>
          <xm:sqref>O5:O69</xm:sqref>
        </x14:dataValidation>
        <x14:dataValidation type="list" allowBlank="1" showErrorMessage="1" xr:uid="{00000000-0002-0000-0000-000003000000}">
          <x14:formula1>
            <xm:f>NOTE!$B$10:$B$13</xm:f>
          </x14:formula1>
          <xm:sqref>C4:C63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2"/>
  <sheetViews>
    <sheetView workbookViewId="0"/>
  </sheetViews>
  <sheetFormatPr baseColWidth="10" defaultColWidth="12.6640625" defaultRowHeight="15" customHeight="1" x14ac:dyDescent="0.15"/>
  <cols>
    <col min="1" max="1" width="5.33203125" customWidth="1"/>
    <col min="2" max="2" width="7" customWidth="1"/>
    <col min="3" max="3" width="16.6640625" customWidth="1"/>
    <col min="4" max="4" width="12.6640625" hidden="1"/>
    <col min="5" max="5" width="22.5" customWidth="1"/>
    <col min="6" max="6" width="22.83203125" customWidth="1"/>
    <col min="7" max="7" width="21.1640625" customWidth="1"/>
    <col min="8" max="8" width="18.5" customWidth="1"/>
    <col min="10" max="10" width="12.6640625" hidden="1"/>
    <col min="11" max="11" width="11.1640625" hidden="1" customWidth="1"/>
    <col min="12" max="12" width="12.33203125" hidden="1" customWidth="1"/>
    <col min="13" max="13" width="16.1640625" customWidth="1"/>
    <col min="14" max="14" width="21.1640625" customWidth="1"/>
    <col min="15" max="16" width="20.1640625" customWidth="1"/>
  </cols>
  <sheetData>
    <row r="1" spans="1:16" x14ac:dyDescent="0.2">
      <c r="A1" s="35" t="s">
        <v>166</v>
      </c>
      <c r="B1" s="3" t="s">
        <v>0</v>
      </c>
      <c r="C1" s="3" t="s">
        <v>167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168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3" t="s">
        <v>12</v>
      </c>
      <c r="O1" s="3" t="s">
        <v>13</v>
      </c>
      <c r="P1" s="35" t="s">
        <v>169</v>
      </c>
    </row>
    <row r="2" spans="1:16" ht="15" customHeight="1" x14ac:dyDescent="0.15">
      <c r="A2" s="36"/>
      <c r="B2" s="36"/>
      <c r="C2" s="36"/>
      <c r="D2" s="36"/>
      <c r="E2" s="36"/>
      <c r="F2" s="36"/>
      <c r="G2" s="36"/>
      <c r="H2" s="36"/>
      <c r="I2" s="37">
        <f ca="1">SUM(I4:I128)</f>
        <v>2036</v>
      </c>
      <c r="J2" s="36"/>
      <c r="K2" s="36"/>
      <c r="L2" s="36"/>
      <c r="M2" s="36"/>
      <c r="N2" s="38">
        <f ca="1">SUM(N4:N114)</f>
        <v>9234250000</v>
      </c>
      <c r="O2" s="36"/>
      <c r="P2" s="39"/>
    </row>
    <row r="3" spans="1:16" ht="15" customHeight="1" x14ac:dyDescent="0.15">
      <c r="A3" s="36"/>
      <c r="B3" s="36" t="str">
        <f ca="1">IFERROR(__xludf.DUMMYFUNCTION("{'DATA 2026'!B1:O1;FILTER('DATA 2026'!B2:O1002,'DATA 2026'!E2:E1002=""Thành công"")}"),"")</f>
        <v/>
      </c>
      <c r="C3" s="36"/>
      <c r="D3" s="36"/>
      <c r="E3" s="36"/>
      <c r="F3" s="36"/>
      <c r="G3" s="36"/>
      <c r="H3" s="36"/>
      <c r="I3" s="40"/>
      <c r="J3" s="36"/>
      <c r="K3" s="36"/>
      <c r="L3" s="36"/>
      <c r="M3" s="41"/>
      <c r="N3" s="36"/>
      <c r="O3" s="36"/>
      <c r="P3" s="39"/>
    </row>
    <row r="4" spans="1:16" ht="15" customHeight="1" x14ac:dyDescent="0.15">
      <c r="A4" s="36">
        <v>1</v>
      </c>
      <c r="B4" s="36">
        <f ca="1">IFERROR(__xludf.DUMMYFUNCTION("""COMPUTED_VALUE"""),1)</f>
        <v>1</v>
      </c>
      <c r="C4" s="36" t="str">
        <f ca="1">IFERROR(__xludf.DUMMYFUNCTION("""COMPUTED_VALUE"""),"CEO/PGD")</f>
        <v>CEO/PGD</v>
      </c>
      <c r="D4" s="36" t="str">
        <f ca="1">IFERROR(__xludf.DUMMYFUNCTION("""COMPUTED_VALUE"""),"Vy Phan")</f>
        <v>Vy Phan</v>
      </c>
      <c r="E4" s="36" t="str">
        <f ca="1">IFERROR(__xludf.DUMMYFUNCTION("""COMPUTED_VALUE"""),"Thành công")</f>
        <v>Thành công</v>
      </c>
      <c r="F4" s="36" t="str">
        <f ca="1">IFERROR(__xludf.DUMMYFUNCTION("""COMPUTED_VALUE"""),"Draeger ")</f>
        <v xml:space="preserve">Draeger </v>
      </c>
      <c r="G4" s="36" t="str">
        <f ca="1">IFERROR(__xludf.DUMMYFUNCTION("""COMPUTED_VALUE"""),"28-30/01")</f>
        <v>28-30/01</v>
      </c>
      <c r="H4" s="36" t="str">
        <f ca="1">IFERROR(__xludf.DUMMYFUNCTION("""COMPUTED_VALUE"""),"Phú Quốc")</f>
        <v>Phú Quốc</v>
      </c>
      <c r="I4" s="36">
        <f ca="1">IFERROR(__xludf.DUMMYFUNCTION("""COMPUTED_VALUE"""),40)</f>
        <v>40</v>
      </c>
      <c r="J4" s="36"/>
      <c r="K4" s="36"/>
      <c r="L4" s="36"/>
      <c r="M4" s="41">
        <f ca="1">IFERROR(__xludf.DUMMYFUNCTION("""COMPUTED_VALUE"""),12000000)</f>
        <v>12000000</v>
      </c>
      <c r="N4" s="41">
        <f ca="1">IFERROR(__xludf.DUMMYFUNCTION("""COMPUTED_VALUE"""),480000000)</f>
        <v>480000000</v>
      </c>
      <c r="O4" s="42" t="str">
        <f ca="1">IFERROR(__xludf.DUMMYFUNCTION("""COMPUTED_VALUE"""),"Tháng 01")</f>
        <v>Tháng 01</v>
      </c>
      <c r="P4" s="43"/>
    </row>
    <row r="5" spans="1:16" ht="15" customHeight="1" x14ac:dyDescent="0.15">
      <c r="A5" s="36">
        <v>2</v>
      </c>
      <c r="B5" s="36">
        <f ca="1">IFERROR(__xludf.DUMMYFUNCTION("""COMPUTED_VALUE"""),2)</f>
        <v>2</v>
      </c>
      <c r="C5" s="36" t="str">
        <f ca="1">IFERROR(__xludf.DUMMYFUNCTION("""COMPUTED_VALUE"""),"CEO/PGD")</f>
        <v>CEO/PGD</v>
      </c>
      <c r="D5" s="36" t="str">
        <f ca="1">IFERROR(__xludf.DUMMYFUNCTION("""COMPUTED_VALUE"""),"Vy Phan")</f>
        <v>Vy Phan</v>
      </c>
      <c r="E5" s="36" t="str">
        <f ca="1">IFERROR(__xludf.DUMMYFUNCTION("""COMPUTED_VALUE"""),"Thành công")</f>
        <v>Thành công</v>
      </c>
      <c r="F5" s="36" t="str">
        <f ca="1">IFERROR(__xludf.DUMMYFUNCTION("""COMPUTED_VALUE"""),"Ngân hàng VIB")</f>
        <v>Ngân hàng VIB</v>
      </c>
      <c r="G5" s="44">
        <f ca="1">IFERROR(__xludf.DUMMYFUNCTION("""COMPUTED_VALUE"""),46060)</f>
        <v>46060</v>
      </c>
      <c r="H5" s="36" t="str">
        <f ca="1">IFERROR(__xludf.DUMMYFUNCTION("""COMPUTED_VALUE"""),"YEP - Miền Bắc")</f>
        <v>YEP - Miền Bắc</v>
      </c>
      <c r="I5" s="36">
        <f ca="1">IFERROR(__xludf.DUMMYFUNCTION("""COMPUTED_VALUE"""),250)</f>
        <v>250</v>
      </c>
      <c r="J5" s="36"/>
      <c r="K5" s="36"/>
      <c r="L5" s="36"/>
      <c r="M5" s="41">
        <f ca="1">IFERROR(__xludf.DUMMYFUNCTION("""COMPUTED_VALUE"""),1200000)</f>
        <v>1200000</v>
      </c>
      <c r="N5" s="41">
        <f ca="1">IFERROR(__xludf.DUMMYFUNCTION("""COMPUTED_VALUE"""),300000000)</f>
        <v>300000000</v>
      </c>
      <c r="O5" s="42" t="str">
        <f ca="1">IFERROR(__xludf.DUMMYFUNCTION("""COMPUTED_VALUE"""),"Tháng 02")</f>
        <v>Tháng 02</v>
      </c>
      <c r="P5" s="43" t="s">
        <v>170</v>
      </c>
    </row>
    <row r="6" spans="1:16" ht="15" customHeight="1" x14ac:dyDescent="0.15">
      <c r="A6" s="36">
        <v>3</v>
      </c>
      <c r="B6" s="36">
        <f ca="1">IFERROR(__xludf.DUMMYFUNCTION("""COMPUTED_VALUE"""),3)</f>
        <v>3</v>
      </c>
      <c r="C6" s="36" t="str">
        <f ca="1">IFERROR(__xludf.DUMMYFUNCTION("""COMPUTED_VALUE"""),"CEO/PGD")</f>
        <v>CEO/PGD</v>
      </c>
      <c r="D6" s="36" t="str">
        <f ca="1">IFERROR(__xludf.DUMMYFUNCTION("""COMPUTED_VALUE"""),"Vy Phan")</f>
        <v>Vy Phan</v>
      </c>
      <c r="E6" s="36" t="str">
        <f ca="1">IFERROR(__xludf.DUMMYFUNCTION("""COMPUTED_VALUE"""),"Thành công")</f>
        <v>Thành công</v>
      </c>
      <c r="F6" s="36" t="str">
        <f ca="1">IFERROR(__xludf.DUMMYFUNCTION("""COMPUTED_VALUE"""),"Ngân hàng VIB")</f>
        <v>Ngân hàng VIB</v>
      </c>
      <c r="G6" s="44">
        <f ca="1">IFERROR(__xludf.DUMMYFUNCTION("""COMPUTED_VALUE"""),46061)</f>
        <v>46061</v>
      </c>
      <c r="H6" s="36" t="str">
        <f ca="1">IFERROR(__xludf.DUMMYFUNCTION("""COMPUTED_VALUE"""),"YEP - Miền Nam")</f>
        <v>YEP - Miền Nam</v>
      </c>
      <c r="I6" s="36">
        <f ca="1">IFERROR(__xludf.DUMMYFUNCTION("""COMPUTED_VALUE"""),500)</f>
        <v>500</v>
      </c>
      <c r="J6" s="36"/>
      <c r="K6" s="36"/>
      <c r="L6" s="36"/>
      <c r="M6" s="41">
        <f ca="1">IFERROR(__xludf.DUMMYFUNCTION("""COMPUTED_VALUE"""),1200000)</f>
        <v>1200000</v>
      </c>
      <c r="N6" s="41">
        <f ca="1">IFERROR(__xludf.DUMMYFUNCTION("""COMPUTED_VALUE"""),600000000)</f>
        <v>600000000</v>
      </c>
      <c r="O6" s="42" t="str">
        <f ca="1">IFERROR(__xludf.DUMMYFUNCTION("""COMPUTED_VALUE"""),"Tháng 02")</f>
        <v>Tháng 02</v>
      </c>
      <c r="P6" s="43" t="s">
        <v>170</v>
      </c>
    </row>
    <row r="7" spans="1:16" ht="15" customHeight="1" x14ac:dyDescent="0.15">
      <c r="A7" s="36">
        <v>4</v>
      </c>
      <c r="B7" s="36">
        <f ca="1">IFERROR(__xludf.DUMMYFUNCTION("""COMPUTED_VALUE"""),4)</f>
        <v>4</v>
      </c>
      <c r="C7" s="36" t="str">
        <f ca="1">IFERROR(__xludf.DUMMYFUNCTION("""COMPUTED_VALUE"""),"CEO/PGD")</f>
        <v>CEO/PGD</v>
      </c>
      <c r="D7" s="36" t="str">
        <f ca="1">IFERROR(__xludf.DUMMYFUNCTION("""COMPUTED_VALUE"""),"Hầu Hưng")</f>
        <v>Hầu Hưng</v>
      </c>
      <c r="E7" s="36" t="str">
        <f ca="1">IFERROR(__xludf.DUMMYFUNCTION("""COMPUTED_VALUE"""),"Thành công")</f>
        <v>Thành công</v>
      </c>
      <c r="F7" s="36" t="str">
        <f ca="1">IFERROR(__xludf.DUMMYFUNCTION("""COMPUTED_VALUE"""),"Giáo dục Phương Nam")</f>
        <v>Giáo dục Phương Nam</v>
      </c>
      <c r="G7" s="44">
        <f ca="1">IFERROR(__xludf.DUMMYFUNCTION("""COMPUTED_VALUE"""),46060)</f>
        <v>46060</v>
      </c>
      <c r="H7" s="36" t="str">
        <f ca="1">IFERROR(__xludf.DUMMYFUNCTION("""COMPUTED_VALUE"""),"YEP - HCM")</f>
        <v>YEP - HCM</v>
      </c>
      <c r="I7" s="36">
        <f ca="1">IFERROR(__xludf.DUMMYFUNCTION("""COMPUTED_VALUE"""),200)</f>
        <v>200</v>
      </c>
      <c r="J7" s="36"/>
      <c r="K7" s="36"/>
      <c r="L7" s="36"/>
      <c r="M7" s="41">
        <f ca="1">IFERROR(__xludf.DUMMYFUNCTION("""COMPUTED_VALUE"""),30000000)</f>
        <v>30000000</v>
      </c>
      <c r="N7" s="41">
        <f ca="1">IFERROR(__xludf.DUMMYFUNCTION("""COMPUTED_VALUE"""),30000000)</f>
        <v>30000000</v>
      </c>
      <c r="O7" s="42" t="str">
        <f ca="1">IFERROR(__xludf.DUMMYFUNCTION("""COMPUTED_VALUE"""),"Tháng 02")</f>
        <v>Tháng 02</v>
      </c>
      <c r="P7" s="43" t="s">
        <v>170</v>
      </c>
    </row>
    <row r="8" spans="1:16" ht="15" customHeight="1" x14ac:dyDescent="0.15">
      <c r="A8" s="36">
        <v>5</v>
      </c>
      <c r="B8" s="36">
        <f ca="1">IFERROR(__xludf.DUMMYFUNCTION("""COMPUTED_VALUE"""),5)</f>
        <v>5</v>
      </c>
      <c r="C8" s="36" t="str">
        <f ca="1">IFERROR(__xludf.DUMMYFUNCTION("""COMPUTED_VALUE"""),"CEO/PGD")</f>
        <v>CEO/PGD</v>
      </c>
      <c r="D8" s="36" t="str">
        <f ca="1">IFERROR(__xludf.DUMMYFUNCTION("""COMPUTED_VALUE"""),"Vy Phan")</f>
        <v>Vy Phan</v>
      </c>
      <c r="E8" s="36" t="str">
        <f ca="1">IFERROR(__xludf.DUMMYFUNCTION("""COMPUTED_VALUE"""),"Thành công")</f>
        <v>Thành công</v>
      </c>
      <c r="F8" s="36" t="str">
        <f ca="1">IFERROR(__xludf.DUMMYFUNCTION("""COMPUTED_VALUE"""),"GD Bác Phấn")</f>
        <v>GD Bác Phấn</v>
      </c>
      <c r="G8" s="36" t="str">
        <f ca="1">IFERROR(__xludf.DUMMYFUNCTION("""COMPUTED_VALUE"""),"06-10/01")</f>
        <v>06-10/01</v>
      </c>
      <c r="H8" s="36" t="str">
        <f ca="1">IFERROR(__xludf.DUMMYFUNCTION("""COMPUTED_VALUE"""),"CITY HCM")</f>
        <v>CITY HCM</v>
      </c>
      <c r="I8" s="36">
        <f ca="1">IFERROR(__xludf.DUMMYFUNCTION("""COMPUTED_VALUE"""),2)</f>
        <v>2</v>
      </c>
      <c r="J8" s="36"/>
      <c r="K8" s="36"/>
      <c r="L8" s="36"/>
      <c r="M8" s="41">
        <f ca="1">IFERROR(__xludf.DUMMYFUNCTION("""COMPUTED_VALUE"""),13000000)</f>
        <v>13000000</v>
      </c>
      <c r="N8" s="41">
        <f ca="1">IFERROR(__xludf.DUMMYFUNCTION("""COMPUTED_VALUE"""),26000000)</f>
        <v>26000000</v>
      </c>
      <c r="O8" s="42" t="str">
        <f ca="1">IFERROR(__xludf.DUMMYFUNCTION("""COMPUTED_VALUE"""),"Tháng 01")</f>
        <v>Tháng 01</v>
      </c>
      <c r="P8" s="43"/>
    </row>
    <row r="9" spans="1:16" ht="15" customHeight="1" x14ac:dyDescent="0.15">
      <c r="A9" s="36">
        <v>6</v>
      </c>
      <c r="B9" s="36">
        <f ca="1">IFERROR(__xludf.DUMMYFUNCTION("""COMPUTED_VALUE"""),7)</f>
        <v>7</v>
      </c>
      <c r="C9" s="36" t="str">
        <f ca="1">IFERROR(__xludf.DUMMYFUNCTION("""COMPUTED_VALUE"""),"CEO/PGD")</f>
        <v>CEO/PGD</v>
      </c>
      <c r="D9" s="36" t="str">
        <f ca="1">IFERROR(__xludf.DUMMYFUNCTION("""COMPUTED_VALUE"""),"Hầu Hưng")</f>
        <v>Hầu Hưng</v>
      </c>
      <c r="E9" s="36" t="str">
        <f ca="1">IFERROR(__xludf.DUMMYFUNCTION("""COMPUTED_VALUE"""),"Thành công")</f>
        <v>Thành công</v>
      </c>
      <c r="F9" s="36" t="str">
        <f ca="1">IFERROR(__xludf.DUMMYFUNCTION("""COMPUTED_VALUE"""),"Draeger")</f>
        <v>Draeger</v>
      </c>
      <c r="G9" s="36" t="str">
        <f ca="1">IFERROR(__xludf.DUMMYFUNCTION("""COMPUTED_VALUE"""),"04-06/03")</f>
        <v>04-06/03</v>
      </c>
      <c r="H9" s="36" t="str">
        <f ca="1">IFERROR(__xludf.DUMMYFUNCTION("""COMPUTED_VALUE"""),"PHÚ YÊN")</f>
        <v>PHÚ YÊN</v>
      </c>
      <c r="I9" s="36">
        <f ca="1">IFERROR(__xludf.DUMMYFUNCTION("""COMPUTED_VALUE"""),30)</f>
        <v>30</v>
      </c>
      <c r="J9" s="36"/>
      <c r="K9" s="36"/>
      <c r="L9" s="36"/>
      <c r="M9" s="45">
        <f ca="1">IFERROR(__xludf.DUMMYFUNCTION("""COMPUTED_VALUE"""),106260000)</f>
        <v>106260000</v>
      </c>
      <c r="N9" s="41">
        <f ca="1">IFERROR(__xludf.DUMMYFUNCTION("""COMPUTED_VALUE"""),106260000)</f>
        <v>106260000</v>
      </c>
      <c r="O9" s="42" t="str">
        <f ca="1">IFERROR(__xludf.DUMMYFUNCTION("""COMPUTED_VALUE"""),"Tháng 01")</f>
        <v>Tháng 01</v>
      </c>
      <c r="P9" s="43"/>
    </row>
    <row r="10" spans="1:16" ht="15" customHeight="1" x14ac:dyDescent="0.15">
      <c r="A10" s="40">
        <v>7</v>
      </c>
      <c r="B10" s="40">
        <f ca="1">IFERROR(__xludf.DUMMYFUNCTION("""COMPUTED_VALUE"""),8)</f>
        <v>8</v>
      </c>
      <c r="C10" s="40" t="str">
        <f ca="1">IFERROR(__xludf.DUMMYFUNCTION("""COMPUTED_VALUE"""),"CEO/PGD")</f>
        <v>CEO/PGD</v>
      </c>
      <c r="D10" s="40" t="str">
        <f ca="1">IFERROR(__xludf.DUMMYFUNCTION("""COMPUTED_VALUE"""),"Hầu Hưng")</f>
        <v>Hầu Hưng</v>
      </c>
      <c r="E10" s="40" t="str">
        <f ca="1">IFERROR(__xludf.DUMMYFUNCTION("""COMPUTED_VALUE"""),"Thành công")</f>
        <v>Thành công</v>
      </c>
      <c r="F10" s="40" t="str">
        <f ca="1">IFERROR(__xludf.DUMMYFUNCTION("""COMPUTED_VALUE"""),"ECU")</f>
        <v>ECU</v>
      </c>
      <c r="G10" s="40" t="str">
        <f ca="1">IFERROR(__xludf.DUMMYFUNCTION("""COMPUTED_VALUE"""),"18-22/3")</f>
        <v>18-22/3</v>
      </c>
      <c r="H10" s="40" t="str">
        <f ca="1">IFERROR(__xludf.DUMMYFUNCTION("""COMPUTED_VALUE"""),"THÁI LAN")</f>
        <v>THÁI LAN</v>
      </c>
      <c r="I10" s="40">
        <f ca="1">IFERROR(__xludf.DUMMYFUNCTION("""COMPUTED_VALUE"""),32)</f>
        <v>32</v>
      </c>
      <c r="J10" s="40"/>
      <c r="K10" s="40"/>
      <c r="L10" s="40"/>
      <c r="M10" s="45">
        <f ca="1">IFERROR(__xludf.DUMMYFUNCTION("""COMPUTED_VALUE"""),12500000)</f>
        <v>12500000</v>
      </c>
      <c r="N10" s="45">
        <f ca="1">IFERROR(__xludf.DUMMYFUNCTION("""COMPUTED_VALUE"""),400000000)</f>
        <v>400000000</v>
      </c>
      <c r="O10" s="46" t="str">
        <f ca="1">IFERROR(__xludf.DUMMYFUNCTION("""COMPUTED_VALUE"""),"Tháng 03")</f>
        <v>Tháng 03</v>
      </c>
      <c r="P10" s="47" t="s">
        <v>170</v>
      </c>
    </row>
    <row r="11" spans="1:16" ht="15" customHeight="1" x14ac:dyDescent="0.15">
      <c r="A11" s="40">
        <v>8</v>
      </c>
      <c r="B11" s="40">
        <f ca="1">IFERROR(__xludf.DUMMYFUNCTION("""COMPUTED_VALUE"""),9)</f>
        <v>9</v>
      </c>
      <c r="C11" s="40" t="str">
        <f ca="1">IFERROR(__xludf.DUMMYFUNCTION("""COMPUTED_VALUE"""),"CEO/PGD")</f>
        <v>CEO/PGD</v>
      </c>
      <c r="D11" s="40" t="str">
        <f ca="1">IFERROR(__xludf.DUMMYFUNCTION("""COMPUTED_VALUE"""),"Hồng Trang")</f>
        <v>Hồng Trang</v>
      </c>
      <c r="E11" s="40" t="str">
        <f ca="1">IFERROR(__xludf.DUMMYFUNCTION("""COMPUTED_VALUE"""),"Thành công")</f>
        <v>Thành công</v>
      </c>
      <c r="F11" s="40" t="str">
        <f ca="1">IFERROR(__xludf.DUMMYFUNCTION("""COMPUTED_VALUE"""),"BOSCH SX")</f>
        <v>BOSCH SX</v>
      </c>
      <c r="G11" s="40" t="str">
        <f ca="1">IFERROR(__xludf.DUMMYFUNCTION("""COMPUTED_VALUE"""),"19/03-22/03")</f>
        <v>19/03-22/03</v>
      </c>
      <c r="H11" s="40" t="str">
        <f ca="1">IFERROR(__xludf.DUMMYFUNCTION("""COMPUTED_VALUE"""),"NHA TRANG")</f>
        <v>NHA TRANG</v>
      </c>
      <c r="I11" s="40">
        <f ca="1">IFERROR(__xludf.DUMMYFUNCTION("""COMPUTED_VALUE"""),250)</f>
        <v>250</v>
      </c>
      <c r="J11" s="40" t="str">
        <f ca="1">IFERROR(__xludf.DUMMYFUNCTION("""COMPUTED_VALUE"""),"Ms.Thục Uyên")</f>
        <v>Ms.Thục Uyên</v>
      </c>
      <c r="K11" s="40"/>
      <c r="L11" s="40"/>
      <c r="M11" s="45">
        <f ca="1">IFERROR(__xludf.DUMMYFUNCTION("""COMPUTED_VALUE"""),4200000)</f>
        <v>4200000</v>
      </c>
      <c r="N11" s="45">
        <f ca="1">IFERROR(__xludf.DUMMYFUNCTION("""COMPUTED_VALUE"""),1050000000)</f>
        <v>1050000000</v>
      </c>
      <c r="O11" s="46" t="str">
        <f ca="1">IFERROR(__xludf.DUMMYFUNCTION("""COMPUTED_VALUE"""),"Tháng 03")</f>
        <v>Tháng 03</v>
      </c>
      <c r="P11" s="47" t="s">
        <v>170</v>
      </c>
    </row>
    <row r="12" spans="1:16" ht="15" customHeight="1" x14ac:dyDescent="0.15">
      <c r="A12" s="40">
        <v>9</v>
      </c>
      <c r="B12" s="40">
        <f ca="1">IFERROR(__xludf.DUMMYFUNCTION("""COMPUTED_VALUE"""),10)</f>
        <v>10</v>
      </c>
      <c r="C12" s="40" t="str">
        <f ca="1">IFERROR(__xludf.DUMMYFUNCTION("""COMPUTED_VALUE"""),"CEO/PGD")</f>
        <v>CEO/PGD</v>
      </c>
      <c r="D12" s="40" t="str">
        <f ca="1">IFERROR(__xludf.DUMMYFUNCTION("""COMPUTED_VALUE"""),"Hồng Trang")</f>
        <v>Hồng Trang</v>
      </c>
      <c r="E12" s="40" t="str">
        <f ca="1">IFERROR(__xludf.DUMMYFUNCTION("""COMPUTED_VALUE"""),"Thành công")</f>
        <v>Thành công</v>
      </c>
      <c r="F12" s="40" t="str">
        <f ca="1">IFERROR(__xludf.DUMMYFUNCTION("""COMPUTED_VALUE"""),"BOSCH EET")</f>
        <v>BOSCH EET</v>
      </c>
      <c r="G12" s="40" t="str">
        <f ca="1">IFERROR(__xludf.DUMMYFUNCTION("""COMPUTED_VALUE"""),"27-29/3")</f>
        <v>27-29/3</v>
      </c>
      <c r="H12" s="40" t="str">
        <f ca="1">IFERROR(__xludf.DUMMYFUNCTION("""COMPUTED_VALUE"""),"ĐÀ LẠT")</f>
        <v>ĐÀ LẠT</v>
      </c>
      <c r="I12" s="40">
        <f ca="1">IFERROR(__xludf.DUMMYFUNCTION("""COMPUTED_VALUE"""),120)</f>
        <v>120</v>
      </c>
      <c r="J12" s="40" t="str">
        <f ca="1">IFERROR(__xludf.DUMMYFUNCTION("""COMPUTED_VALUE"""),"Ms.Ngọc Ánh")</f>
        <v>Ms.Ngọc Ánh</v>
      </c>
      <c r="K12" s="40"/>
      <c r="L12" s="40"/>
      <c r="M12" s="45">
        <f ca="1">IFERROR(__xludf.DUMMYFUNCTION("""COMPUTED_VALUE"""),4400000)</f>
        <v>4400000</v>
      </c>
      <c r="N12" s="45">
        <f ca="1">IFERROR(__xludf.DUMMYFUNCTION("""COMPUTED_VALUE"""),528000000)</f>
        <v>528000000</v>
      </c>
      <c r="O12" s="46" t="str">
        <f ca="1">IFERROR(__xludf.DUMMYFUNCTION("""COMPUTED_VALUE"""),"Tháng 03")</f>
        <v>Tháng 03</v>
      </c>
      <c r="P12" s="47"/>
    </row>
    <row r="13" spans="1:16" ht="15" customHeight="1" x14ac:dyDescent="0.15">
      <c r="A13" s="40">
        <v>10</v>
      </c>
      <c r="B13" s="40">
        <f ca="1">IFERROR(__xludf.DUMMYFUNCTION("""COMPUTED_VALUE"""),11)</f>
        <v>11</v>
      </c>
      <c r="C13" s="40" t="str">
        <f ca="1">IFERROR(__xludf.DUMMYFUNCTION("""COMPUTED_VALUE"""),"CEO/PGD")</f>
        <v>CEO/PGD</v>
      </c>
      <c r="D13" s="40" t="str">
        <f ca="1">IFERROR(__xludf.DUMMYFUNCTION("""COMPUTED_VALUE"""),"Hồng Trang")</f>
        <v>Hồng Trang</v>
      </c>
      <c r="E13" s="40" t="str">
        <f ca="1">IFERROR(__xludf.DUMMYFUNCTION("""COMPUTED_VALUE"""),"Thành công")</f>
        <v>Thành công</v>
      </c>
      <c r="F13" s="40" t="str">
        <f ca="1">IFERROR(__xludf.DUMMYFUNCTION("""COMPUTED_VALUE"""),"PHÒNG KHÁM Y VIỆT")</f>
        <v>PHÒNG KHÁM Y VIỆT</v>
      </c>
      <c r="G13" s="40" t="str">
        <f ca="1">IFERROR(__xludf.DUMMYFUNCTION("""COMPUTED_VALUE"""),"28-29/03")</f>
        <v>28-29/03</v>
      </c>
      <c r="H13" s="40" t="str">
        <f ca="1">IFERROR(__xludf.DUMMYFUNCTION("""COMPUTED_VALUE"""),"PHAN THIẾT")</f>
        <v>PHAN THIẾT</v>
      </c>
      <c r="I13" s="40">
        <f ca="1">IFERROR(__xludf.DUMMYFUNCTION("""COMPUTED_VALUE"""),135)</f>
        <v>135</v>
      </c>
      <c r="J13" s="40" t="str">
        <f ca="1">IFERROR(__xludf.DUMMYFUNCTION("""COMPUTED_VALUE"""),"Ms.Ngoan")</f>
        <v>Ms.Ngoan</v>
      </c>
      <c r="K13" s="40" t="str">
        <f ca="1">IFERROR(__xludf.DUMMYFUNCTION("""COMPUTED_VALUE"""),"0332939159")</f>
        <v>0332939159</v>
      </c>
      <c r="L13" s="40"/>
      <c r="M13" s="45">
        <f ca="1">IFERROR(__xludf.DUMMYFUNCTION("""COMPUTED_VALUE"""),2350000)</f>
        <v>2350000</v>
      </c>
      <c r="N13" s="45">
        <f ca="1">IFERROR(__xludf.DUMMYFUNCTION("""COMPUTED_VALUE"""),317250000)</f>
        <v>317250000</v>
      </c>
      <c r="O13" s="46" t="str">
        <f ca="1">IFERROR(__xludf.DUMMYFUNCTION("""COMPUTED_VALUE"""),"Tháng 03")</f>
        <v>Tháng 03</v>
      </c>
      <c r="P13" s="47"/>
    </row>
    <row r="14" spans="1:16" ht="15" customHeight="1" x14ac:dyDescent="0.15">
      <c r="A14" s="48">
        <v>11</v>
      </c>
      <c r="B14" s="48">
        <f ca="1">IFERROR(__xludf.DUMMYFUNCTION("""COMPUTED_VALUE"""),15)</f>
        <v>15</v>
      </c>
      <c r="C14" s="48" t="str">
        <f ca="1">IFERROR(__xludf.DUMMYFUNCTION("""COMPUTED_VALUE"""),"CEO/PGD")</f>
        <v>CEO/PGD</v>
      </c>
      <c r="D14" s="48" t="str">
        <f ca="1">IFERROR(__xludf.DUMMYFUNCTION("""COMPUTED_VALUE"""),"Hồng Trang")</f>
        <v>Hồng Trang</v>
      </c>
      <c r="E14" s="48" t="str">
        <f ca="1">IFERROR(__xludf.DUMMYFUNCTION("""COMPUTED_VALUE"""),"Thành công")</f>
        <v>Thành công</v>
      </c>
      <c r="F14" s="48" t="str">
        <f ca="1">IFERROR(__xludf.DUMMYFUNCTION("""COMPUTED_VALUE"""),"CG RECORD")</f>
        <v>CG RECORD</v>
      </c>
      <c r="G14" s="48" t="str">
        <f ca="1">IFERROR(__xludf.DUMMYFUNCTION("""COMPUTED_VALUE"""),"21/4-25/4")</f>
        <v>21/4-25/4</v>
      </c>
      <c r="H14" s="48" t="str">
        <f ca="1">IFERROR(__xludf.DUMMYFUNCTION("""COMPUTED_VALUE"""),"LỆ GIANG")</f>
        <v>LỆ GIANG</v>
      </c>
      <c r="I14" s="48">
        <f ca="1">IFERROR(__xludf.DUMMYFUNCTION("""COMPUTED_VALUE"""),20)</f>
        <v>20</v>
      </c>
      <c r="J14" s="48"/>
      <c r="K14" s="48"/>
      <c r="L14" s="48"/>
      <c r="M14" s="49">
        <f ca="1">IFERROR(__xludf.DUMMYFUNCTION("""COMPUTED_VALUE"""),20000000)</f>
        <v>20000000</v>
      </c>
      <c r="N14" s="49">
        <f ca="1">IFERROR(__xludf.DUMMYFUNCTION("""COMPUTED_VALUE"""),400000000)</f>
        <v>400000000</v>
      </c>
      <c r="O14" s="50" t="str">
        <f ca="1">IFERROR(__xludf.DUMMYFUNCTION("""COMPUTED_VALUE"""),"Tháng 04")</f>
        <v>Tháng 04</v>
      </c>
      <c r="P14" s="47"/>
    </row>
    <row r="15" spans="1:16" ht="15" customHeight="1" x14ac:dyDescent="0.15">
      <c r="A15" s="48">
        <v>12</v>
      </c>
      <c r="B15" s="48">
        <f ca="1">IFERROR(__xludf.DUMMYFUNCTION("""COMPUTED_VALUE"""),18)</f>
        <v>18</v>
      </c>
      <c r="C15" s="48" t="str">
        <f ca="1">IFERROR(__xludf.DUMMYFUNCTION("""COMPUTED_VALUE"""),"CEO/PGD")</f>
        <v>CEO/PGD</v>
      </c>
      <c r="D15" s="48" t="str">
        <f ca="1">IFERROR(__xludf.DUMMYFUNCTION("""COMPUTED_VALUE"""),"Vy Phan")</f>
        <v>Vy Phan</v>
      </c>
      <c r="E15" s="48" t="str">
        <f ca="1">IFERROR(__xludf.DUMMYFUNCTION("""COMPUTED_VALUE"""),"Thành công")</f>
        <v>Thành công</v>
      </c>
      <c r="F15" s="48" t="str">
        <f ca="1">IFERROR(__xludf.DUMMYFUNCTION("""COMPUTED_VALUE"""),"VIB BANK")</f>
        <v>VIB BANK</v>
      </c>
      <c r="G15" s="48" t="str">
        <f ca="1">IFERROR(__xludf.DUMMYFUNCTION("""COMPUTED_VALUE"""),"25/4 - 01/05")</f>
        <v>25/4 - 01/05</v>
      </c>
      <c r="H15" s="48" t="str">
        <f ca="1">IFERROR(__xludf.DUMMYFUNCTION("""COMPUTED_VALUE"""),"UK")</f>
        <v>UK</v>
      </c>
      <c r="I15" s="48">
        <f ca="1">IFERROR(__xludf.DUMMYFUNCTION("""COMPUTED_VALUE"""),7)</f>
        <v>7</v>
      </c>
      <c r="J15" s="48"/>
      <c r="K15" s="48"/>
      <c r="L15" s="48"/>
      <c r="M15" s="49">
        <f ca="1">IFERROR(__xludf.DUMMYFUNCTION("""COMPUTED_VALUE"""),98000000)</f>
        <v>98000000</v>
      </c>
      <c r="N15" s="49">
        <f ca="1">IFERROR(__xludf.DUMMYFUNCTION("""COMPUTED_VALUE"""),686000000)</f>
        <v>686000000</v>
      </c>
      <c r="O15" s="50" t="str">
        <f ca="1">IFERROR(__xludf.DUMMYFUNCTION("""COMPUTED_VALUE"""),"Tháng 04")</f>
        <v>Tháng 04</v>
      </c>
      <c r="P15" s="47"/>
    </row>
    <row r="16" spans="1:16" ht="15" customHeight="1" x14ac:dyDescent="0.15">
      <c r="A16" s="48">
        <v>13</v>
      </c>
      <c r="B16" s="48">
        <f ca="1">IFERROR(__xludf.DUMMYFUNCTION("""COMPUTED_VALUE"""),19)</f>
        <v>19</v>
      </c>
      <c r="C16" s="48" t="str">
        <f ca="1">IFERROR(__xludf.DUMMYFUNCTION("""COMPUTED_VALUE"""),"CEO/PGD")</f>
        <v>CEO/PGD</v>
      </c>
      <c r="D16" s="48" t="str">
        <f ca="1">IFERROR(__xludf.DUMMYFUNCTION("""COMPUTED_VALUE"""),"Hầu Hưng")</f>
        <v>Hầu Hưng</v>
      </c>
      <c r="E16" s="48" t="str">
        <f ca="1">IFERROR(__xludf.DUMMYFUNCTION("""COMPUTED_VALUE"""),"Thành công")</f>
        <v>Thành công</v>
      </c>
      <c r="F16" s="48" t="str">
        <f ca="1">IFERROR(__xludf.DUMMYFUNCTION("""COMPUTED_VALUE"""),"QBI")</f>
        <v>QBI</v>
      </c>
      <c r="G16" s="48" t="str">
        <f ca="1">IFERROR(__xludf.DUMMYFUNCTION("""COMPUTED_VALUE"""),"31/3-4/4")</f>
        <v>31/3-4/4</v>
      </c>
      <c r="H16" s="48" t="str">
        <f ca="1">IFERROR(__xludf.DUMMYFUNCTION("""COMPUTED_VALUE"""),"LỆ GIANG")</f>
        <v>LỆ GIANG</v>
      </c>
      <c r="I16" s="48">
        <f ca="1">IFERROR(__xludf.DUMMYFUNCTION("""COMPUTED_VALUE"""),20)</f>
        <v>20</v>
      </c>
      <c r="J16" s="48"/>
      <c r="K16" s="48"/>
      <c r="L16" s="48"/>
      <c r="M16" s="49">
        <f ca="1">IFERROR(__xludf.DUMMYFUNCTION("""COMPUTED_VALUE"""),19000000)</f>
        <v>19000000</v>
      </c>
      <c r="N16" s="49">
        <f ca="1">IFERROR(__xludf.DUMMYFUNCTION("""COMPUTED_VALUE"""),380000000)</f>
        <v>380000000</v>
      </c>
      <c r="O16" s="50" t="str">
        <f ca="1">IFERROR(__xludf.DUMMYFUNCTION("""COMPUTED_VALUE"""),"Tháng 03")</f>
        <v>Tháng 03</v>
      </c>
      <c r="P16" s="47"/>
    </row>
    <row r="17" spans="1:16" ht="15" customHeight="1" x14ac:dyDescent="0.15">
      <c r="A17" s="40">
        <v>14</v>
      </c>
      <c r="B17" s="40">
        <f ca="1">IFERROR(__xludf.DUMMYFUNCTION("""COMPUTED_VALUE"""),20)</f>
        <v>20</v>
      </c>
      <c r="C17" s="40" t="str">
        <f ca="1">IFERROR(__xludf.DUMMYFUNCTION("""COMPUTED_VALUE"""),"CEO/PGD")</f>
        <v>CEO/PGD</v>
      </c>
      <c r="D17" s="40" t="str">
        <f ca="1">IFERROR(__xludf.DUMMYFUNCTION("""COMPUTED_VALUE"""),"Hồng Trang")</f>
        <v>Hồng Trang</v>
      </c>
      <c r="E17" s="40" t="str">
        <f ca="1">IFERROR(__xludf.DUMMYFUNCTION("""COMPUTED_VALUE"""),"Thành công")</f>
        <v>Thành công</v>
      </c>
      <c r="F17" s="40" t="str">
        <f ca="1">IFERROR(__xludf.DUMMYFUNCTION("""COMPUTED_VALUE"""),"BOSCH EAE")</f>
        <v>BOSCH EAE</v>
      </c>
      <c r="G17" s="40" t="str">
        <f ca="1">IFERROR(__xludf.DUMMYFUNCTION("""COMPUTED_VALUE"""),"15-17/5")</f>
        <v>15-17/5</v>
      </c>
      <c r="H17" s="40" t="str">
        <f ca="1">IFERROR(__xludf.DUMMYFUNCTION("""COMPUTED_VALUE"""),"NHA TRANG")</f>
        <v>NHA TRANG</v>
      </c>
      <c r="I17" s="40">
        <f ca="1">IFERROR(__xludf.DUMMYFUNCTION("""COMPUTED_VALUE"""),100)</f>
        <v>100</v>
      </c>
      <c r="J17" s="40"/>
      <c r="K17" s="40"/>
      <c r="L17" s="40"/>
      <c r="M17" s="45">
        <f ca="1">IFERROR(__xludf.DUMMYFUNCTION("""COMPUTED_VALUE"""),4800000)</f>
        <v>4800000</v>
      </c>
      <c r="N17" s="45">
        <f ca="1">IFERROR(__xludf.DUMMYFUNCTION("""COMPUTED_VALUE"""),480000000)</f>
        <v>480000000</v>
      </c>
      <c r="O17" s="46" t="str">
        <f ca="1">IFERROR(__xludf.DUMMYFUNCTION("""COMPUTED_VALUE"""),"Tháng 05")</f>
        <v>Tháng 05</v>
      </c>
      <c r="P17" s="47"/>
    </row>
    <row r="18" spans="1:16" ht="15" customHeight="1" x14ac:dyDescent="0.15">
      <c r="A18" s="36">
        <v>15</v>
      </c>
      <c r="B18" s="36">
        <f ca="1">IFERROR(__xludf.DUMMYFUNCTION("""COMPUTED_VALUE"""),25)</f>
        <v>25</v>
      </c>
      <c r="C18" s="36" t="str">
        <f ca="1">IFERROR(__xludf.DUMMYFUNCTION("""COMPUTED_VALUE"""),"CEO/PGD")</f>
        <v>CEO/PGD</v>
      </c>
      <c r="D18" s="36" t="str">
        <f ca="1">IFERROR(__xludf.DUMMYFUNCTION("""COMPUTED_VALUE"""),"Vy Phan")</f>
        <v>Vy Phan</v>
      </c>
      <c r="E18" s="36" t="str">
        <f ca="1">IFERROR(__xludf.DUMMYFUNCTION("""COMPUTED_VALUE"""),"Thành công")</f>
        <v>Thành công</v>
      </c>
      <c r="F18" s="36" t="str">
        <f ca="1">IFERROR(__xludf.DUMMYFUNCTION("""COMPUTED_VALUE"""),"VIB BANK")</f>
        <v>VIB BANK</v>
      </c>
      <c r="G18" s="36" t="str">
        <f ca="1">IFERROR(__xludf.DUMMYFUNCTION("""COMPUTED_VALUE"""),"1-4/9")</f>
        <v>1-4/9</v>
      </c>
      <c r="H18" s="36" t="str">
        <f ca="1">IFERROR(__xludf.DUMMYFUNCTION("""COMPUTED_VALUE"""),"HÀN QUỐC")</f>
        <v>HÀN QUỐC</v>
      </c>
      <c r="I18" s="36">
        <f ca="1">IFERROR(__xludf.DUMMYFUNCTION("""COMPUTED_VALUE"""),7)</f>
        <v>7</v>
      </c>
      <c r="J18" s="36"/>
      <c r="K18" s="36"/>
      <c r="L18" s="36"/>
      <c r="M18" s="41">
        <f ca="1">IFERROR(__xludf.DUMMYFUNCTION("""COMPUTED_VALUE"""),15000000)</f>
        <v>15000000</v>
      </c>
      <c r="N18" s="41">
        <f ca="1">IFERROR(__xludf.DUMMYFUNCTION("""COMPUTED_VALUE"""),105000000)</f>
        <v>105000000</v>
      </c>
      <c r="O18" s="42" t="str">
        <f ca="1">IFERROR(__xludf.DUMMYFUNCTION("""COMPUTED_VALUE"""),"Tháng 09")</f>
        <v>Tháng 09</v>
      </c>
      <c r="P18" s="43"/>
    </row>
    <row r="19" spans="1:16" ht="15" customHeight="1" x14ac:dyDescent="0.15">
      <c r="A19" s="48">
        <v>16</v>
      </c>
      <c r="B19" s="48">
        <f ca="1">IFERROR(__xludf.DUMMYFUNCTION("""COMPUTED_VALUE"""),34)</f>
        <v>34</v>
      </c>
      <c r="C19" s="48" t="str">
        <f ca="1">IFERROR(__xludf.DUMMYFUNCTION("""COMPUTED_VALUE"""),"CEO/PGD")</f>
        <v>CEO/PGD</v>
      </c>
      <c r="D19" s="48" t="str">
        <f ca="1">IFERROR(__xludf.DUMMYFUNCTION("""COMPUTED_VALUE"""),"Vy Phan")</f>
        <v>Vy Phan</v>
      </c>
      <c r="E19" s="48" t="str">
        <f ca="1">IFERROR(__xludf.DUMMYFUNCTION("""COMPUTED_VALUE"""),"Thành công")</f>
        <v>Thành công</v>
      </c>
      <c r="F19" s="48" t="str">
        <f ca="1">IFERROR(__xludf.DUMMYFUNCTION("""COMPUTED_VALUE"""),"Dược Phẩm Nhất Nhất")</f>
        <v>Dược Phẩm Nhất Nhất</v>
      </c>
      <c r="G19" s="48" t="str">
        <f ca="1">IFERROR(__xludf.DUMMYFUNCTION("""COMPUTED_VALUE"""),"20-24/05")</f>
        <v>20-24/05</v>
      </c>
      <c r="H19" s="48" t="str">
        <f ca="1">IFERROR(__xludf.DUMMYFUNCTION("""COMPUTED_VALUE"""),"Cam Ranh")</f>
        <v>Cam Ranh</v>
      </c>
      <c r="I19" s="48">
        <f ca="1">IFERROR(__xludf.DUMMYFUNCTION("""COMPUTED_VALUE"""),300)</f>
        <v>300</v>
      </c>
      <c r="J19" s="48"/>
      <c r="K19" s="48"/>
      <c r="L19" s="48"/>
      <c r="M19" s="49">
        <f ca="1">IFERROR(__xludf.DUMMYFUNCTION("""COMPUTED_VALUE"""),8000000)</f>
        <v>8000000</v>
      </c>
      <c r="N19" s="49">
        <f ca="1">IFERROR(__xludf.DUMMYFUNCTION("""COMPUTED_VALUE"""),2400000000)</f>
        <v>2400000000</v>
      </c>
      <c r="O19" s="50" t="str">
        <f ca="1">IFERROR(__xludf.DUMMYFUNCTION("""COMPUTED_VALUE"""),"Tháng 05")</f>
        <v>Tháng 05</v>
      </c>
      <c r="P19" s="43"/>
    </row>
    <row r="20" spans="1:16" ht="15" customHeight="1" x14ac:dyDescent="0.15">
      <c r="A20" s="36">
        <v>17</v>
      </c>
      <c r="B20" s="36">
        <f ca="1">IFERROR(__xludf.DUMMYFUNCTION("""COMPUTED_VALUE"""),35)</f>
        <v>35</v>
      </c>
      <c r="C20" s="36" t="str">
        <f ca="1">IFERROR(__xludf.DUMMYFUNCTION("""COMPUTED_VALUE"""),"CEO/PGD")</f>
        <v>CEO/PGD</v>
      </c>
      <c r="D20" s="36" t="str">
        <f ca="1">IFERROR(__xludf.DUMMYFUNCTION("""COMPUTED_VALUE"""),"Hoàng Hoa")</f>
        <v>Hoàng Hoa</v>
      </c>
      <c r="E20" s="36" t="str">
        <f ca="1">IFERROR(__xludf.DUMMYFUNCTION("""COMPUTED_VALUE"""),"Thành công")</f>
        <v>Thành công</v>
      </c>
      <c r="F20" s="36" t="str">
        <f ca="1">IFERROR(__xludf.DUMMYFUNCTION("""COMPUTED_VALUE"""),"Nhóm bạn chị Cellin")</f>
        <v>Nhóm bạn chị Cellin</v>
      </c>
      <c r="G20" s="36" t="str">
        <f ca="1">IFERROR(__xludf.DUMMYFUNCTION("""COMPUTED_VALUE"""),"25-29.04")</f>
        <v>25-29.04</v>
      </c>
      <c r="H20" s="36" t="str">
        <f ca="1">IFERROR(__xludf.DUMMYFUNCTION("""COMPUTED_VALUE"""),"TRUNG QUỐC")</f>
        <v>TRUNG QUỐC</v>
      </c>
      <c r="I20" s="36">
        <f ca="1">IFERROR(__xludf.DUMMYFUNCTION("""COMPUTED_VALUE"""),12)</f>
        <v>12</v>
      </c>
      <c r="J20" s="36"/>
      <c r="K20" s="36"/>
      <c r="L20" s="36"/>
      <c r="M20" s="41">
        <f ca="1">IFERROR(__xludf.DUMMYFUNCTION("""COMPUTED_VALUE"""),31500000)</f>
        <v>31500000</v>
      </c>
      <c r="N20" s="41">
        <f ca="1">IFERROR(__xludf.DUMMYFUNCTION("""COMPUTED_VALUE"""),378000000)</f>
        <v>378000000</v>
      </c>
      <c r="O20" s="42" t="str">
        <f ca="1">IFERROR(__xludf.DUMMYFUNCTION("""COMPUTED_VALUE"""),"Tháng 04")</f>
        <v>Tháng 04</v>
      </c>
      <c r="P20" s="43"/>
    </row>
    <row r="21" spans="1:16" ht="15" customHeight="1" x14ac:dyDescent="0.15">
      <c r="A21" s="48">
        <v>18</v>
      </c>
      <c r="B21" s="48">
        <f ca="1">IFERROR(__xludf.DUMMYFUNCTION("""COMPUTED_VALUE"""),38)</f>
        <v>38</v>
      </c>
      <c r="C21" s="48" t="str">
        <f ca="1">IFERROR(__xludf.DUMMYFUNCTION("""COMPUTED_VALUE"""),"Cá nhân")</f>
        <v>Cá nhân</v>
      </c>
      <c r="D21" s="48" t="str">
        <f ca="1">IFERROR(__xludf.DUMMYFUNCTION("""COMPUTED_VALUE"""),"Thị Trang")</f>
        <v>Thị Trang</v>
      </c>
      <c r="E21" s="48" t="str">
        <f ca="1">IFERROR(__xludf.DUMMYFUNCTION("""COMPUTED_VALUE"""),"Thành công")</f>
        <v>Thành công</v>
      </c>
      <c r="F21" s="48" t="str">
        <f ca="1">IFERROR(__xludf.DUMMYFUNCTION("""COMPUTED_VALUE"""),"CTY Hưng Phát")</f>
        <v>CTY Hưng Phát</v>
      </c>
      <c r="G21" s="48" t="str">
        <f ca="1">IFERROR(__xludf.DUMMYFUNCTION("""COMPUTED_VALUE"""),"09-11/05")</f>
        <v>09-11/05</v>
      </c>
      <c r="H21" s="48" t="str">
        <f ca="1">IFERROR(__xludf.DUMMYFUNCTION("""COMPUTED_VALUE"""),"PHÚ QUỐC")</f>
        <v>PHÚ QUỐC</v>
      </c>
      <c r="I21" s="48">
        <f ca="1">IFERROR(__xludf.DUMMYFUNCTION("""COMPUTED_VALUE"""),1)</f>
        <v>1</v>
      </c>
      <c r="J21" s="48"/>
      <c r="K21" s="48"/>
      <c r="L21" s="48"/>
      <c r="M21" s="49">
        <f ca="1">IFERROR(__xludf.DUMMYFUNCTION("""COMPUTED_VALUE"""),131740000)</f>
        <v>131740000</v>
      </c>
      <c r="N21" s="49">
        <f ca="1">IFERROR(__xludf.DUMMYFUNCTION("""COMPUTED_VALUE"""),131740000)</f>
        <v>131740000</v>
      </c>
      <c r="O21" s="50" t="str">
        <f ca="1">IFERROR(__xludf.DUMMYFUNCTION("""COMPUTED_VALUE"""),"Tháng 05")</f>
        <v>Tháng 05</v>
      </c>
      <c r="P21" s="43"/>
    </row>
    <row r="22" spans="1:16" ht="15" customHeight="1" x14ac:dyDescent="0.15">
      <c r="A22" s="36">
        <v>19</v>
      </c>
      <c r="B22" s="36">
        <f ca="1">IFERROR(__xludf.DUMMYFUNCTION("""COMPUTED_VALUE"""),43)</f>
        <v>43</v>
      </c>
      <c r="C22" s="36" t="str">
        <f ca="1">IFERROR(__xludf.DUMMYFUNCTION("""COMPUTED_VALUE"""),"CEO/PGD")</f>
        <v>CEO/PGD</v>
      </c>
      <c r="D22" s="36" t="str">
        <f ca="1">IFERROR(__xludf.DUMMYFUNCTION("""COMPUTED_VALUE"""),"Hoàng Hoa")</f>
        <v>Hoàng Hoa</v>
      </c>
      <c r="E22" s="36" t="str">
        <f ca="1">IFERROR(__xludf.DUMMYFUNCTION("""COMPUTED_VALUE"""),"Thành công")</f>
        <v>Thành công</v>
      </c>
      <c r="F22" s="36" t="str">
        <f ca="1">IFERROR(__xludf.DUMMYFUNCTION("""COMPUTED_VALUE"""),"Nhóm bạn anh Thái Bình")</f>
        <v>Nhóm bạn anh Thái Bình</v>
      </c>
      <c r="G22" s="36" t="str">
        <f ca="1">IFERROR(__xludf.DUMMYFUNCTION("""COMPUTED_VALUE"""),"26.04-03.05")</f>
        <v>26.04-03.05</v>
      </c>
      <c r="H22" s="36" t="str">
        <f ca="1">IFERROR(__xludf.DUMMYFUNCTION("""COMPUTED_VALUE"""),"Trung Quốc")</f>
        <v>Trung Quốc</v>
      </c>
      <c r="I22" s="36">
        <f ca="1">IFERROR(__xludf.DUMMYFUNCTION("""COMPUTED_VALUE"""),10)</f>
        <v>10</v>
      </c>
      <c r="J22" s="36"/>
      <c r="K22" s="36"/>
      <c r="L22" s="36"/>
      <c r="M22" s="41">
        <f ca="1">IFERROR(__xludf.DUMMYFUNCTION("""COMPUTED_VALUE"""),43600000)</f>
        <v>43600000</v>
      </c>
      <c r="N22" s="41">
        <f ca="1">IFERROR(__xludf.DUMMYFUNCTION("""COMPUTED_VALUE"""),436000000)</f>
        <v>436000000</v>
      </c>
      <c r="O22" s="42" t="str">
        <f ca="1">IFERROR(__xludf.DUMMYFUNCTION("""COMPUTED_VALUE"""),"Tháng 04")</f>
        <v>Tháng 04</v>
      </c>
      <c r="P22" s="43"/>
    </row>
    <row r="23" spans="1:16" ht="15" customHeight="1" x14ac:dyDescent="0.15">
      <c r="A23" s="36">
        <v>20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42"/>
      <c r="P23" s="43"/>
    </row>
    <row r="24" spans="1:16" ht="15" customHeight="1" x14ac:dyDescent="0.15">
      <c r="A24" s="36">
        <v>21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42"/>
      <c r="P24" s="43"/>
    </row>
    <row r="25" spans="1:16" ht="15" customHeight="1" x14ac:dyDescent="0.15">
      <c r="A25" s="36">
        <v>22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42"/>
      <c r="P25" s="43"/>
    </row>
    <row r="26" spans="1:16" ht="15" customHeight="1" x14ac:dyDescent="0.15">
      <c r="A26" s="36">
        <v>23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42"/>
      <c r="P26" s="43"/>
    </row>
    <row r="27" spans="1:16" ht="15" customHeight="1" x14ac:dyDescent="0.15">
      <c r="A27" s="36">
        <v>24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42"/>
      <c r="P27" s="43"/>
    </row>
    <row r="28" spans="1:16" ht="15" customHeight="1" x14ac:dyDescent="0.15">
      <c r="A28" s="36">
        <v>25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42"/>
      <c r="P28" s="43"/>
    </row>
    <row r="29" spans="1:16" ht="15" customHeight="1" x14ac:dyDescent="0.15">
      <c r="A29" s="36">
        <v>26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40"/>
      <c r="N29" s="36"/>
      <c r="O29" s="42"/>
      <c r="P29" s="43"/>
    </row>
    <row r="30" spans="1:16" ht="15" customHeight="1" x14ac:dyDescent="0.15">
      <c r="A30" s="36">
        <v>27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42"/>
      <c r="P30" s="43"/>
    </row>
    <row r="31" spans="1:16" ht="15" customHeight="1" x14ac:dyDescent="0.15">
      <c r="A31" s="36">
        <v>28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42"/>
      <c r="P31" s="43"/>
    </row>
    <row r="32" spans="1:16" ht="15" customHeight="1" x14ac:dyDescent="0.15">
      <c r="A32" s="36">
        <v>29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42"/>
      <c r="P32" s="43"/>
    </row>
    <row r="33" spans="1:16" ht="15" customHeight="1" x14ac:dyDescent="0.15">
      <c r="A33" s="36">
        <v>30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42"/>
      <c r="P33" s="43"/>
    </row>
    <row r="34" spans="1:16" ht="15" customHeight="1" x14ac:dyDescent="0.15">
      <c r="A34" s="36">
        <v>31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42"/>
      <c r="P34" s="43"/>
    </row>
    <row r="35" spans="1:16" ht="15" customHeight="1" x14ac:dyDescent="0.15">
      <c r="A35" s="36">
        <v>32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42"/>
      <c r="P35" s="43"/>
    </row>
    <row r="36" spans="1:16" ht="15" customHeight="1" x14ac:dyDescent="0.15">
      <c r="A36" s="36">
        <v>33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42"/>
      <c r="P36" s="43"/>
    </row>
    <row r="37" spans="1:16" ht="15" customHeight="1" x14ac:dyDescent="0.15">
      <c r="A37" s="36">
        <v>34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42"/>
      <c r="P37" s="43"/>
    </row>
    <row r="38" spans="1:16" ht="15" customHeight="1" x14ac:dyDescent="0.15">
      <c r="A38" s="36">
        <v>35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42"/>
      <c r="P38" s="43"/>
    </row>
    <row r="39" spans="1:16" ht="15" customHeight="1" x14ac:dyDescent="0.15">
      <c r="A39" s="36">
        <v>36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42"/>
      <c r="P39" s="43"/>
    </row>
    <row r="40" spans="1:16" ht="15" customHeight="1" x14ac:dyDescent="0.15">
      <c r="A40" s="36">
        <v>37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42"/>
      <c r="P40" s="43"/>
    </row>
    <row r="41" spans="1:16" ht="15" customHeight="1" x14ac:dyDescent="0.15">
      <c r="A41" s="36">
        <v>38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42"/>
      <c r="P41" s="43"/>
    </row>
    <row r="42" spans="1:16" ht="15" customHeight="1" x14ac:dyDescent="0.15">
      <c r="A42" s="36">
        <v>39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42"/>
      <c r="P42" s="43"/>
    </row>
    <row r="43" spans="1:16" ht="15" customHeight="1" x14ac:dyDescent="0.1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42"/>
      <c r="P43" s="43"/>
    </row>
    <row r="44" spans="1:16" ht="15" customHeight="1" x14ac:dyDescent="0.1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42"/>
      <c r="P44" s="43"/>
    </row>
    <row r="45" spans="1:16" ht="15" customHeight="1" x14ac:dyDescent="0.1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42"/>
      <c r="P45" s="43"/>
    </row>
    <row r="46" spans="1:16" ht="15" customHeight="1" x14ac:dyDescent="0.1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42"/>
      <c r="P46" s="43"/>
    </row>
    <row r="47" spans="1:16" ht="15" customHeight="1" x14ac:dyDescent="0.15">
      <c r="A47" s="39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42"/>
      <c r="P47" s="43"/>
    </row>
    <row r="48" spans="1:16" ht="15" customHeight="1" x14ac:dyDescent="0.15">
      <c r="A48" s="39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42"/>
      <c r="P48" s="43"/>
    </row>
    <row r="49" spans="1:16" ht="15" customHeight="1" x14ac:dyDescent="0.15">
      <c r="A49" s="39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42"/>
      <c r="P49" s="43"/>
    </row>
    <row r="50" spans="1:16" ht="13" x14ac:dyDescent="0.15">
      <c r="A50" s="39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42"/>
      <c r="P50" s="43"/>
    </row>
    <row r="51" spans="1:16" ht="13" x14ac:dyDescent="0.15">
      <c r="A51" s="39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42"/>
      <c r="P51" s="43"/>
    </row>
    <row r="52" spans="1:16" ht="13" x14ac:dyDescent="0.15">
      <c r="A52" s="39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42"/>
      <c r="P52" s="43"/>
    </row>
    <row r="53" spans="1:16" ht="13" x14ac:dyDescent="0.15">
      <c r="A53" s="39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42"/>
      <c r="P53" s="43"/>
    </row>
    <row r="54" spans="1:16" ht="13" x14ac:dyDescent="0.15">
      <c r="A54" s="39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42"/>
      <c r="P54" s="43"/>
    </row>
    <row r="55" spans="1:16" ht="13" x14ac:dyDescent="0.15">
      <c r="A55" s="39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42"/>
      <c r="P55" s="43"/>
    </row>
    <row r="56" spans="1:16" ht="13" x14ac:dyDescent="0.15">
      <c r="A56" s="39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42"/>
      <c r="P56" s="43"/>
    </row>
    <row r="57" spans="1:16" ht="13" x14ac:dyDescent="0.15">
      <c r="A57" s="39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42"/>
      <c r="P57" s="43"/>
    </row>
    <row r="58" spans="1:16" ht="13" x14ac:dyDescent="0.15">
      <c r="A58" s="39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42"/>
      <c r="P58" s="43"/>
    </row>
    <row r="59" spans="1:16" ht="13" x14ac:dyDescent="0.15">
      <c r="A59" s="39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42"/>
      <c r="P59" s="43"/>
    </row>
    <row r="60" spans="1:16" ht="13" x14ac:dyDescent="0.15">
      <c r="A60" s="39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42"/>
      <c r="P60" s="43"/>
    </row>
    <row r="61" spans="1:16" ht="13" x14ac:dyDescent="0.15">
      <c r="A61" s="39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42"/>
      <c r="P61" s="43"/>
    </row>
    <row r="62" spans="1:16" ht="13" x14ac:dyDescent="0.15">
      <c r="A62" s="39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42"/>
      <c r="P62" s="43"/>
    </row>
    <row r="63" spans="1:16" ht="13" x14ac:dyDescent="0.15">
      <c r="A63" s="39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42"/>
      <c r="P63" s="43"/>
    </row>
    <row r="64" spans="1:16" ht="13" x14ac:dyDescent="0.15">
      <c r="A64" s="39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42"/>
      <c r="P64" s="43"/>
    </row>
    <row r="65" spans="1:16" ht="13" x14ac:dyDescent="0.15">
      <c r="A65" s="39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42"/>
      <c r="P65" s="43"/>
    </row>
    <row r="66" spans="1:16" ht="13" x14ac:dyDescent="0.15">
      <c r="A66" s="39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42"/>
      <c r="P66" s="43"/>
    </row>
    <row r="67" spans="1:16" ht="13" x14ac:dyDescent="0.15">
      <c r="A67" s="39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42"/>
      <c r="P67" s="43"/>
    </row>
    <row r="68" spans="1:16" ht="13" x14ac:dyDescent="0.15">
      <c r="A68" s="39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42"/>
      <c r="P68" s="43"/>
    </row>
    <row r="69" spans="1:16" ht="13" x14ac:dyDescent="0.15">
      <c r="A69" s="39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42"/>
      <c r="P69" s="43"/>
    </row>
    <row r="70" spans="1:16" ht="13" x14ac:dyDescent="0.15">
      <c r="A70" s="39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42"/>
      <c r="P70" s="43"/>
    </row>
    <row r="71" spans="1:16" ht="13" x14ac:dyDescent="0.15">
      <c r="A71" s="39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42"/>
      <c r="P71" s="43"/>
    </row>
    <row r="72" spans="1:16" ht="13" x14ac:dyDescent="0.15">
      <c r="A72" s="39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9"/>
    </row>
    <row r="73" spans="1:16" ht="13" x14ac:dyDescent="0.15">
      <c r="A73" s="39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9"/>
    </row>
    <row r="74" spans="1:16" ht="13" x14ac:dyDescent="0.15">
      <c r="A74" s="39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9"/>
    </row>
    <row r="75" spans="1:16" ht="13" x14ac:dyDescent="0.15">
      <c r="A75" s="39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9"/>
    </row>
    <row r="76" spans="1:16" ht="13" x14ac:dyDescent="0.15">
      <c r="A76" s="39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9"/>
    </row>
    <row r="77" spans="1:16" ht="13" x14ac:dyDescent="0.15">
      <c r="A77" s="39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9"/>
    </row>
    <row r="78" spans="1:16" ht="13" x14ac:dyDescent="0.15">
      <c r="A78" s="39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9"/>
    </row>
    <row r="79" spans="1:16" ht="13" x14ac:dyDescent="0.15">
      <c r="A79" s="39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9"/>
    </row>
    <row r="80" spans="1:16" ht="13" x14ac:dyDescent="0.15">
      <c r="A80" s="39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9"/>
    </row>
    <row r="81" spans="1:16" ht="13" x14ac:dyDescent="0.15">
      <c r="A81" s="39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9"/>
    </row>
    <row r="82" spans="1:16" ht="13" x14ac:dyDescent="0.15">
      <c r="A82" s="39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9"/>
    </row>
    <row r="83" spans="1:16" ht="13" x14ac:dyDescent="0.15">
      <c r="A83" s="39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9"/>
    </row>
    <row r="84" spans="1:16" ht="13" x14ac:dyDescent="0.15">
      <c r="A84" s="39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9"/>
    </row>
    <row r="85" spans="1:16" ht="13" x14ac:dyDescent="0.15">
      <c r="A85" s="39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9"/>
    </row>
    <row r="86" spans="1:16" ht="13" x14ac:dyDescent="0.15">
      <c r="A86" s="39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9"/>
    </row>
    <row r="87" spans="1:16" ht="13" x14ac:dyDescent="0.15">
      <c r="A87" s="39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9"/>
    </row>
    <row r="88" spans="1:16" ht="13" x14ac:dyDescent="0.15">
      <c r="A88" s="39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9"/>
    </row>
    <row r="89" spans="1:16" ht="13" x14ac:dyDescent="0.15">
      <c r="A89" s="39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9"/>
    </row>
    <row r="90" spans="1:16" ht="13" x14ac:dyDescent="0.15">
      <c r="A90" s="39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9"/>
    </row>
    <row r="91" spans="1:16" ht="13" x14ac:dyDescent="0.15">
      <c r="A91" s="39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9"/>
    </row>
    <row r="92" spans="1:16" ht="13" x14ac:dyDescent="0.15">
      <c r="A92" s="39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9"/>
    </row>
    <row r="93" spans="1:16" ht="13" x14ac:dyDescent="0.15">
      <c r="A93" s="39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9"/>
    </row>
    <row r="94" spans="1:16" ht="13" x14ac:dyDescent="0.15">
      <c r="A94" s="39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9"/>
    </row>
    <row r="95" spans="1:16" ht="13" x14ac:dyDescent="0.15">
      <c r="A95" s="39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9"/>
    </row>
    <row r="96" spans="1:16" ht="13" x14ac:dyDescent="0.15">
      <c r="A96" s="39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9"/>
    </row>
    <row r="97" spans="1:16" ht="13" x14ac:dyDescent="0.15">
      <c r="A97" s="39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9"/>
    </row>
    <row r="98" spans="1:16" ht="13" x14ac:dyDescent="0.15">
      <c r="A98" s="39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9"/>
    </row>
    <row r="99" spans="1:16" ht="13" x14ac:dyDescent="0.15">
      <c r="A99" s="39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9"/>
    </row>
    <row r="100" spans="1:16" ht="13" x14ac:dyDescent="0.15">
      <c r="A100" s="39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9"/>
    </row>
    <row r="101" spans="1:16" ht="13" x14ac:dyDescent="0.15">
      <c r="A101" s="39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9"/>
    </row>
    <row r="102" spans="1:16" ht="13" x14ac:dyDescent="0.15">
      <c r="A102" s="39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9"/>
    </row>
    <row r="103" spans="1:16" ht="13" x14ac:dyDescent="0.15">
      <c r="A103" s="39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9"/>
    </row>
    <row r="104" spans="1:16" ht="13" x14ac:dyDescent="0.15">
      <c r="A104" s="39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9"/>
    </row>
    <row r="105" spans="1:16" ht="13" x14ac:dyDescent="0.15">
      <c r="A105" s="39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9"/>
    </row>
    <row r="106" spans="1:16" ht="13" x14ac:dyDescent="0.15">
      <c r="A106" s="39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9"/>
    </row>
    <row r="107" spans="1:16" ht="13" x14ac:dyDescent="0.15">
      <c r="A107" s="39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9"/>
    </row>
    <row r="108" spans="1:16" ht="13" x14ac:dyDescent="0.15">
      <c r="A108" s="39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9"/>
    </row>
    <row r="109" spans="1:16" ht="13" x14ac:dyDescent="0.15">
      <c r="A109" s="3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9"/>
    </row>
    <row r="110" spans="1:16" ht="13" x14ac:dyDescent="0.15">
      <c r="A110" s="39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9"/>
    </row>
    <row r="111" spans="1:16" ht="13" x14ac:dyDescent="0.15">
      <c r="A111" s="39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9"/>
    </row>
    <row r="112" spans="1:16" ht="13" x14ac:dyDescent="0.15">
      <c r="A112" s="39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9"/>
    </row>
    <row r="113" spans="1:16" ht="13" x14ac:dyDescent="0.15">
      <c r="A113" s="39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9"/>
    </row>
    <row r="114" spans="1:16" ht="13" x14ac:dyDescent="0.15">
      <c r="A114" s="39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9"/>
    </row>
    <row r="115" spans="1:16" ht="13" x14ac:dyDescent="0.15">
      <c r="A115" s="39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9"/>
    </row>
    <row r="116" spans="1:16" ht="13" x14ac:dyDescent="0.15">
      <c r="A116" s="39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9"/>
    </row>
    <row r="117" spans="1:16" ht="13" x14ac:dyDescent="0.15">
      <c r="A117" s="39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9"/>
    </row>
    <row r="118" spans="1:16" ht="13" x14ac:dyDescent="0.15">
      <c r="A118" s="39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9"/>
    </row>
    <row r="119" spans="1:16" ht="13" x14ac:dyDescent="0.15">
      <c r="A119" s="39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9"/>
    </row>
    <row r="120" spans="1:16" ht="13" x14ac:dyDescent="0.15">
      <c r="A120" s="39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9"/>
    </row>
    <row r="121" spans="1:16" ht="13" x14ac:dyDescent="0.15">
      <c r="A121" s="39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9"/>
    </row>
    <row r="122" spans="1:16" ht="13" x14ac:dyDescent="0.15">
      <c r="A122" s="39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9"/>
    </row>
    <row r="123" spans="1:16" ht="13" x14ac:dyDescent="0.15">
      <c r="A123" s="39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9"/>
    </row>
    <row r="124" spans="1:16" ht="13" x14ac:dyDescent="0.15">
      <c r="A124" s="39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9"/>
    </row>
    <row r="125" spans="1:16" ht="13" x14ac:dyDescent="0.15">
      <c r="A125" s="39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9"/>
    </row>
    <row r="126" spans="1:16" ht="13" x14ac:dyDescent="0.15">
      <c r="A126" s="39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9"/>
    </row>
    <row r="127" spans="1:16" ht="13" x14ac:dyDescent="0.15">
      <c r="A127" s="39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9"/>
    </row>
    <row r="128" spans="1:16" ht="13" x14ac:dyDescent="0.15">
      <c r="A128" s="39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9"/>
    </row>
    <row r="129" spans="1:16" ht="13" x14ac:dyDescent="0.15">
      <c r="A129" s="39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9"/>
    </row>
    <row r="130" spans="1:16" ht="13" x14ac:dyDescent="0.15">
      <c r="A130" s="39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9"/>
    </row>
    <row r="131" spans="1:16" ht="13" x14ac:dyDescent="0.15">
      <c r="A131" s="39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9"/>
    </row>
    <row r="132" spans="1:16" ht="13" x14ac:dyDescent="0.15">
      <c r="A132" s="39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9"/>
    </row>
    <row r="133" spans="1:16" ht="13" x14ac:dyDescent="0.15">
      <c r="A133" s="39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9"/>
    </row>
    <row r="134" spans="1:16" ht="13" x14ac:dyDescent="0.15">
      <c r="A134" s="39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9"/>
    </row>
    <row r="135" spans="1:16" ht="13" x14ac:dyDescent="0.15">
      <c r="A135" s="39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9"/>
    </row>
    <row r="136" spans="1:16" ht="13" x14ac:dyDescent="0.15">
      <c r="A136" s="39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9"/>
    </row>
    <row r="137" spans="1:16" ht="13" x14ac:dyDescent="0.15">
      <c r="A137" s="39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9"/>
    </row>
    <row r="138" spans="1:16" ht="13" x14ac:dyDescent="0.15">
      <c r="A138" s="39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9"/>
    </row>
    <row r="139" spans="1:16" ht="13" x14ac:dyDescent="0.15">
      <c r="A139" s="39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9"/>
    </row>
    <row r="140" spans="1:16" ht="13" x14ac:dyDescent="0.15">
      <c r="A140" s="39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9"/>
    </row>
    <row r="141" spans="1:16" ht="13" x14ac:dyDescent="0.15">
      <c r="A141" s="39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9"/>
    </row>
    <row r="142" spans="1:16" ht="13" x14ac:dyDescent="0.15">
      <c r="A142" s="39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9"/>
    </row>
    <row r="143" spans="1:16" ht="13" x14ac:dyDescent="0.15">
      <c r="A143" s="39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9"/>
    </row>
    <row r="144" spans="1:16" ht="13" x14ac:dyDescent="0.15">
      <c r="A144" s="39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9"/>
    </row>
    <row r="145" spans="1:16" ht="13" x14ac:dyDescent="0.15">
      <c r="A145" s="39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9"/>
    </row>
    <row r="146" spans="1:16" ht="13" x14ac:dyDescent="0.15">
      <c r="A146" s="39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9"/>
    </row>
    <row r="147" spans="1:16" ht="13" x14ac:dyDescent="0.15">
      <c r="A147" s="39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9"/>
    </row>
    <row r="148" spans="1:16" ht="13" x14ac:dyDescent="0.15">
      <c r="A148" s="39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9"/>
    </row>
    <row r="149" spans="1:16" ht="13" x14ac:dyDescent="0.15">
      <c r="A149" s="39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9"/>
    </row>
    <row r="150" spans="1:16" ht="13" x14ac:dyDescent="0.15">
      <c r="A150" s="39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9"/>
    </row>
    <row r="151" spans="1:16" ht="13" x14ac:dyDescent="0.15">
      <c r="A151" s="39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9"/>
    </row>
    <row r="152" spans="1:16" ht="13" x14ac:dyDescent="0.15">
      <c r="A152" s="39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9"/>
    </row>
    <row r="153" spans="1:16" ht="13" x14ac:dyDescent="0.15">
      <c r="A153" s="39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9"/>
    </row>
    <row r="154" spans="1:16" ht="13" x14ac:dyDescent="0.15">
      <c r="A154" s="39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9"/>
    </row>
    <row r="155" spans="1:16" ht="13" x14ac:dyDescent="0.15">
      <c r="A155" s="39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9"/>
    </row>
    <row r="156" spans="1:16" ht="13" x14ac:dyDescent="0.15">
      <c r="A156" s="39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9"/>
    </row>
    <row r="157" spans="1:16" ht="13" x14ac:dyDescent="0.15">
      <c r="A157" s="39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9"/>
    </row>
    <row r="158" spans="1:16" ht="13" x14ac:dyDescent="0.15">
      <c r="A158" s="39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9"/>
    </row>
    <row r="159" spans="1:16" ht="13" x14ac:dyDescent="0.15">
      <c r="A159" s="39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9"/>
    </row>
    <row r="160" spans="1:16" ht="13" x14ac:dyDescent="0.15">
      <c r="A160" s="39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9"/>
    </row>
    <row r="161" spans="1:16" ht="13" x14ac:dyDescent="0.15">
      <c r="A161" s="39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9"/>
    </row>
    <row r="162" spans="1:16" ht="13" x14ac:dyDescent="0.15">
      <c r="A162" s="39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9"/>
    </row>
    <row r="163" spans="1:16" ht="13" x14ac:dyDescent="0.15">
      <c r="A163" s="39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9"/>
    </row>
    <row r="164" spans="1:16" ht="13" x14ac:dyDescent="0.15">
      <c r="A164" s="39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9"/>
    </row>
    <row r="165" spans="1:16" ht="13" x14ac:dyDescent="0.15">
      <c r="A165" s="39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9"/>
    </row>
    <row r="166" spans="1:16" ht="13" x14ac:dyDescent="0.15">
      <c r="A166" s="39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9"/>
    </row>
    <row r="167" spans="1:16" ht="13" x14ac:dyDescent="0.15">
      <c r="A167" s="39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9"/>
    </row>
    <row r="168" spans="1:16" ht="13" x14ac:dyDescent="0.15">
      <c r="A168" s="39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9"/>
    </row>
    <row r="169" spans="1:16" ht="13" x14ac:dyDescent="0.15">
      <c r="A169" s="39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9"/>
    </row>
    <row r="170" spans="1:16" ht="13" x14ac:dyDescent="0.15">
      <c r="A170" s="39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9"/>
    </row>
    <row r="171" spans="1:16" ht="13" x14ac:dyDescent="0.15">
      <c r="A171" s="39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9"/>
    </row>
    <row r="172" spans="1:16" ht="13" x14ac:dyDescent="0.15">
      <c r="A172" s="39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9"/>
    </row>
    <row r="173" spans="1:16" ht="13" x14ac:dyDescent="0.15">
      <c r="A173" s="39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9"/>
    </row>
    <row r="174" spans="1:16" ht="13" x14ac:dyDescent="0.15">
      <c r="A174" s="39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9"/>
    </row>
    <row r="175" spans="1:16" ht="13" x14ac:dyDescent="0.15">
      <c r="A175" s="39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9"/>
    </row>
    <row r="176" spans="1:16" ht="13" x14ac:dyDescent="0.15">
      <c r="A176" s="39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9"/>
    </row>
    <row r="177" spans="1:16" ht="13" x14ac:dyDescent="0.15">
      <c r="A177" s="39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9"/>
    </row>
    <row r="178" spans="1:16" ht="13" x14ac:dyDescent="0.15">
      <c r="A178" s="39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9"/>
    </row>
    <row r="179" spans="1:16" ht="13" x14ac:dyDescent="0.15">
      <c r="A179" s="39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9"/>
    </row>
    <row r="180" spans="1:16" ht="13" x14ac:dyDescent="0.15">
      <c r="A180" s="39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9"/>
    </row>
    <row r="181" spans="1:16" ht="13" x14ac:dyDescent="0.15">
      <c r="A181" s="39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9"/>
    </row>
    <row r="182" spans="1:16" ht="13" x14ac:dyDescent="0.15">
      <c r="A182" s="39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9"/>
    </row>
    <row r="183" spans="1:16" ht="13" x14ac:dyDescent="0.15">
      <c r="A183" s="39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9"/>
    </row>
    <row r="184" spans="1:16" ht="13" x14ac:dyDescent="0.15">
      <c r="A184" s="39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9"/>
    </row>
    <row r="185" spans="1:16" ht="13" x14ac:dyDescent="0.15">
      <c r="A185" s="39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9"/>
    </row>
    <row r="186" spans="1:16" ht="13" x14ac:dyDescent="0.15">
      <c r="A186" s="39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9"/>
    </row>
    <row r="187" spans="1:16" ht="13" x14ac:dyDescent="0.15">
      <c r="A187" s="39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9"/>
    </row>
    <row r="188" spans="1:16" ht="13" x14ac:dyDescent="0.15">
      <c r="A188" s="39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9"/>
    </row>
    <row r="189" spans="1:16" ht="13" x14ac:dyDescent="0.15">
      <c r="A189" s="39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9"/>
    </row>
    <row r="190" spans="1:16" ht="13" x14ac:dyDescent="0.15">
      <c r="A190" s="39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9"/>
    </row>
    <row r="191" spans="1:16" ht="13" x14ac:dyDescent="0.15">
      <c r="A191" s="39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9"/>
    </row>
    <row r="192" spans="1:16" ht="13" x14ac:dyDescent="0.15">
      <c r="A192" s="39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9"/>
    </row>
    <row r="193" spans="1:16" ht="13" x14ac:dyDescent="0.15">
      <c r="A193" s="39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9"/>
    </row>
    <row r="194" spans="1:16" ht="13" x14ac:dyDescent="0.15">
      <c r="A194" s="39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9"/>
    </row>
    <row r="195" spans="1:16" ht="13" x14ac:dyDescent="0.15">
      <c r="A195" s="39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9"/>
    </row>
    <row r="196" spans="1:16" ht="13" x14ac:dyDescent="0.15">
      <c r="A196" s="39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9"/>
    </row>
    <row r="197" spans="1:16" ht="13" x14ac:dyDescent="0.15">
      <c r="A197" s="39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9"/>
    </row>
    <row r="198" spans="1:16" ht="13" x14ac:dyDescent="0.15">
      <c r="A198" s="39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9"/>
    </row>
    <row r="199" spans="1:16" ht="13" x14ac:dyDescent="0.15">
      <c r="A199" s="39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9"/>
    </row>
    <row r="200" spans="1:16" ht="13" x14ac:dyDescent="0.15">
      <c r="A200" s="39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9"/>
    </row>
    <row r="201" spans="1:16" ht="13" x14ac:dyDescent="0.15">
      <c r="A201" s="39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9"/>
    </row>
    <row r="202" spans="1:16" ht="13" x14ac:dyDescent="0.15">
      <c r="A202" s="39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9"/>
    </row>
    <row r="203" spans="1:16" ht="13" x14ac:dyDescent="0.15">
      <c r="A203" s="39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9"/>
    </row>
    <row r="204" spans="1:16" ht="13" x14ac:dyDescent="0.15">
      <c r="A204" s="39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9"/>
    </row>
    <row r="205" spans="1:16" ht="13" x14ac:dyDescent="0.15">
      <c r="A205" s="39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9"/>
    </row>
    <row r="206" spans="1:16" ht="13" x14ac:dyDescent="0.15">
      <c r="A206" s="39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9"/>
    </row>
    <row r="207" spans="1:16" ht="13" x14ac:dyDescent="0.15">
      <c r="A207" s="39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9"/>
    </row>
    <row r="208" spans="1:16" ht="13" x14ac:dyDescent="0.15">
      <c r="A208" s="39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9"/>
    </row>
    <row r="209" spans="1:16" ht="13" x14ac:dyDescent="0.15">
      <c r="A209" s="39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9"/>
    </row>
    <row r="210" spans="1:16" ht="13" x14ac:dyDescent="0.15">
      <c r="A210" s="39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9"/>
    </row>
    <row r="211" spans="1:16" ht="13" x14ac:dyDescent="0.15">
      <c r="A211" s="39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9"/>
    </row>
    <row r="212" spans="1:16" ht="13" x14ac:dyDescent="0.15">
      <c r="A212" s="39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9"/>
    </row>
    <row r="213" spans="1:16" ht="13" x14ac:dyDescent="0.15">
      <c r="A213" s="39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9"/>
    </row>
    <row r="214" spans="1:16" ht="13" x14ac:dyDescent="0.15">
      <c r="A214" s="39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9"/>
    </row>
    <row r="215" spans="1:16" ht="13" x14ac:dyDescent="0.15">
      <c r="A215" s="39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9"/>
    </row>
    <row r="216" spans="1:16" ht="13" x14ac:dyDescent="0.15">
      <c r="A216" s="39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9"/>
    </row>
    <row r="217" spans="1:16" ht="13" x14ac:dyDescent="0.15">
      <c r="A217" s="39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9"/>
    </row>
    <row r="218" spans="1:16" ht="13" x14ac:dyDescent="0.15">
      <c r="A218" s="39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9"/>
    </row>
    <row r="219" spans="1:16" ht="13" x14ac:dyDescent="0.15">
      <c r="A219" s="39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9"/>
    </row>
    <row r="220" spans="1:16" ht="13" x14ac:dyDescent="0.15">
      <c r="A220" s="39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9"/>
    </row>
    <row r="221" spans="1:16" ht="13" x14ac:dyDescent="0.15">
      <c r="A221" s="39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9"/>
    </row>
    <row r="222" spans="1:16" ht="13" x14ac:dyDescent="0.15">
      <c r="A222" s="39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9"/>
    </row>
    <row r="223" spans="1:16" ht="13" x14ac:dyDescent="0.15">
      <c r="A223" s="39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9"/>
    </row>
    <row r="224" spans="1:16" ht="13" x14ac:dyDescent="0.15">
      <c r="A224" s="39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9"/>
    </row>
    <row r="225" spans="1:16" ht="13" x14ac:dyDescent="0.15">
      <c r="A225" s="39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9"/>
    </row>
    <row r="226" spans="1:16" ht="13" x14ac:dyDescent="0.15">
      <c r="A226" s="39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9"/>
    </row>
    <row r="227" spans="1:16" ht="13" x14ac:dyDescent="0.15">
      <c r="A227" s="39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9"/>
    </row>
    <row r="228" spans="1:16" ht="13" x14ac:dyDescent="0.15">
      <c r="A228" s="39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9"/>
    </row>
    <row r="229" spans="1:16" ht="13" x14ac:dyDescent="0.15">
      <c r="A229" s="39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9"/>
    </row>
    <row r="230" spans="1:16" ht="13" x14ac:dyDescent="0.15">
      <c r="A230" s="39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9"/>
    </row>
    <row r="231" spans="1:16" ht="13" x14ac:dyDescent="0.15">
      <c r="A231" s="39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9"/>
    </row>
    <row r="232" spans="1:16" ht="13" x14ac:dyDescent="0.15">
      <c r="A232" s="39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9"/>
    </row>
    <row r="233" spans="1:16" ht="13" x14ac:dyDescent="0.15">
      <c r="A233" s="39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9"/>
    </row>
    <row r="234" spans="1:16" ht="13" x14ac:dyDescent="0.15">
      <c r="A234" s="39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9"/>
    </row>
    <row r="235" spans="1:16" ht="13" x14ac:dyDescent="0.15">
      <c r="A235" s="39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9"/>
    </row>
    <row r="236" spans="1:16" ht="13" x14ac:dyDescent="0.15">
      <c r="A236" s="39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9"/>
    </row>
    <row r="237" spans="1:16" ht="13" x14ac:dyDescent="0.15">
      <c r="A237" s="39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9"/>
    </row>
    <row r="238" spans="1:16" ht="13" x14ac:dyDescent="0.15">
      <c r="A238" s="39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9"/>
    </row>
    <row r="239" spans="1:16" ht="13" x14ac:dyDescent="0.15">
      <c r="A239" s="39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9"/>
    </row>
    <row r="240" spans="1:16" ht="13" x14ac:dyDescent="0.15">
      <c r="A240" s="39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9"/>
    </row>
    <row r="241" spans="1:16" ht="13" x14ac:dyDescent="0.15">
      <c r="A241" s="39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9"/>
    </row>
    <row r="242" spans="1:16" ht="13" x14ac:dyDescent="0.15">
      <c r="A242" s="39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9"/>
    </row>
    <row r="243" spans="1:16" ht="13" x14ac:dyDescent="0.15">
      <c r="A243" s="39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9"/>
    </row>
    <row r="244" spans="1:16" ht="13" x14ac:dyDescent="0.15">
      <c r="A244" s="39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9"/>
    </row>
    <row r="245" spans="1:16" ht="13" x14ac:dyDescent="0.15">
      <c r="A245" s="39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9"/>
    </row>
    <row r="246" spans="1:16" ht="13" x14ac:dyDescent="0.15">
      <c r="A246" s="39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9"/>
    </row>
    <row r="247" spans="1:16" ht="13" x14ac:dyDescent="0.15">
      <c r="A247" s="39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9"/>
    </row>
    <row r="248" spans="1:16" ht="13" x14ac:dyDescent="0.15">
      <c r="A248" s="39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9"/>
    </row>
    <row r="249" spans="1:16" ht="13" x14ac:dyDescent="0.15">
      <c r="A249" s="39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9"/>
    </row>
    <row r="250" spans="1:16" ht="13" x14ac:dyDescent="0.15">
      <c r="A250" s="39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9"/>
    </row>
    <row r="251" spans="1:16" ht="13" x14ac:dyDescent="0.15">
      <c r="A251" s="39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9"/>
    </row>
    <row r="252" spans="1:16" ht="13" x14ac:dyDescent="0.15">
      <c r="A252" s="39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9"/>
    </row>
    <row r="253" spans="1:16" ht="13" x14ac:dyDescent="0.15">
      <c r="A253" s="39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9"/>
    </row>
    <row r="254" spans="1:16" ht="13" x14ac:dyDescent="0.15">
      <c r="A254" s="39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9"/>
    </row>
    <row r="255" spans="1:16" ht="13" x14ac:dyDescent="0.15">
      <c r="A255" s="39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9"/>
    </row>
    <row r="256" spans="1:16" ht="13" x14ac:dyDescent="0.15">
      <c r="A256" s="39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9"/>
    </row>
    <row r="257" spans="1:16" ht="13" x14ac:dyDescent="0.15">
      <c r="A257" s="39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9"/>
    </row>
    <row r="258" spans="1:16" ht="13" x14ac:dyDescent="0.15">
      <c r="A258" s="39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9"/>
    </row>
    <row r="259" spans="1:16" ht="13" x14ac:dyDescent="0.15">
      <c r="A259" s="39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9"/>
    </row>
    <row r="260" spans="1:16" ht="13" x14ac:dyDescent="0.15">
      <c r="A260" s="39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9"/>
    </row>
    <row r="261" spans="1:16" ht="13" x14ac:dyDescent="0.15">
      <c r="A261" s="39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9"/>
    </row>
    <row r="262" spans="1:16" ht="13" x14ac:dyDescent="0.15">
      <c r="A262" s="39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9"/>
    </row>
    <row r="263" spans="1:16" ht="13" x14ac:dyDescent="0.15">
      <c r="A263" s="39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9"/>
    </row>
    <row r="264" spans="1:16" ht="13" x14ac:dyDescent="0.15">
      <c r="A264" s="39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9"/>
    </row>
    <row r="265" spans="1:16" ht="13" x14ac:dyDescent="0.15">
      <c r="A265" s="39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9"/>
    </row>
    <row r="266" spans="1:16" ht="13" x14ac:dyDescent="0.15">
      <c r="A266" s="39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9"/>
    </row>
    <row r="267" spans="1:16" ht="13" x14ac:dyDescent="0.15">
      <c r="A267" s="39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9"/>
    </row>
    <row r="268" spans="1:16" ht="13" x14ac:dyDescent="0.15">
      <c r="A268" s="39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9"/>
    </row>
    <row r="269" spans="1:16" ht="13" x14ac:dyDescent="0.15">
      <c r="A269" s="39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9"/>
    </row>
    <row r="270" spans="1:16" ht="13" x14ac:dyDescent="0.15">
      <c r="A270" s="39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9"/>
    </row>
    <row r="271" spans="1:16" ht="13" x14ac:dyDescent="0.15">
      <c r="A271" s="39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9"/>
    </row>
    <row r="272" spans="1:16" ht="13" x14ac:dyDescent="0.15">
      <c r="A272" s="39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9"/>
    </row>
    <row r="273" spans="1:16" ht="13" x14ac:dyDescent="0.15">
      <c r="A273" s="39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9"/>
    </row>
    <row r="274" spans="1:16" ht="13" x14ac:dyDescent="0.15">
      <c r="A274" s="39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9"/>
    </row>
    <row r="275" spans="1:16" ht="13" x14ac:dyDescent="0.15">
      <c r="A275" s="39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9"/>
    </row>
    <row r="276" spans="1:16" ht="13" x14ac:dyDescent="0.15">
      <c r="A276" s="39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9"/>
    </row>
    <row r="277" spans="1:16" ht="13" x14ac:dyDescent="0.15">
      <c r="A277" s="39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9"/>
    </row>
    <row r="278" spans="1:16" ht="13" x14ac:dyDescent="0.15">
      <c r="A278" s="39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9"/>
    </row>
    <row r="279" spans="1:16" ht="13" x14ac:dyDescent="0.15">
      <c r="A279" s="39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9"/>
    </row>
    <row r="280" spans="1:16" ht="13" x14ac:dyDescent="0.15">
      <c r="A280" s="39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9"/>
    </row>
    <row r="281" spans="1:16" ht="13" x14ac:dyDescent="0.15">
      <c r="A281" s="39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9"/>
    </row>
    <row r="282" spans="1:16" ht="13" x14ac:dyDescent="0.15">
      <c r="A282" s="39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9"/>
    </row>
    <row r="283" spans="1:16" ht="13" x14ac:dyDescent="0.15">
      <c r="A283" s="39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9"/>
    </row>
    <row r="284" spans="1:16" ht="13" x14ac:dyDescent="0.15">
      <c r="A284" s="39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9"/>
    </row>
    <row r="285" spans="1:16" ht="13" x14ac:dyDescent="0.15">
      <c r="A285" s="39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9"/>
    </row>
    <row r="286" spans="1:16" ht="13" x14ac:dyDescent="0.15">
      <c r="A286" s="39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9"/>
    </row>
    <row r="287" spans="1:16" ht="13" x14ac:dyDescent="0.15">
      <c r="A287" s="39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9"/>
    </row>
    <row r="288" spans="1:16" ht="13" x14ac:dyDescent="0.15">
      <c r="A288" s="39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9"/>
    </row>
    <row r="289" spans="1:16" ht="13" x14ac:dyDescent="0.15">
      <c r="A289" s="39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9"/>
    </row>
    <row r="290" spans="1:16" ht="13" x14ac:dyDescent="0.15">
      <c r="A290" s="39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9"/>
    </row>
    <row r="291" spans="1:16" ht="13" x14ac:dyDescent="0.15">
      <c r="A291" s="39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9"/>
    </row>
    <row r="292" spans="1:16" ht="13" x14ac:dyDescent="0.15">
      <c r="A292" s="39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9"/>
    </row>
    <row r="293" spans="1:16" ht="13" x14ac:dyDescent="0.15">
      <c r="A293" s="39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9"/>
    </row>
    <row r="294" spans="1:16" ht="13" x14ac:dyDescent="0.15">
      <c r="A294" s="39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9"/>
    </row>
    <row r="295" spans="1:16" ht="13" x14ac:dyDescent="0.15">
      <c r="A295" s="39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9"/>
    </row>
    <row r="296" spans="1:16" ht="13" x14ac:dyDescent="0.15">
      <c r="A296" s="39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9"/>
    </row>
    <row r="297" spans="1:16" ht="13" x14ac:dyDescent="0.15">
      <c r="A297" s="39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9"/>
    </row>
    <row r="298" spans="1:16" ht="13" x14ac:dyDescent="0.15">
      <c r="A298" s="39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9"/>
    </row>
    <row r="299" spans="1:16" ht="13" x14ac:dyDescent="0.15">
      <c r="A299" s="39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9"/>
    </row>
    <row r="300" spans="1:16" ht="13" x14ac:dyDescent="0.15">
      <c r="A300" s="39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9"/>
    </row>
    <row r="301" spans="1:16" ht="13" x14ac:dyDescent="0.15">
      <c r="A301" s="39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9"/>
    </row>
    <row r="302" spans="1:16" ht="13" x14ac:dyDescent="0.15">
      <c r="A302" s="39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9"/>
    </row>
    <row r="303" spans="1:16" ht="13" x14ac:dyDescent="0.15">
      <c r="A303" s="39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9"/>
    </row>
    <row r="304" spans="1:16" ht="13" x14ac:dyDescent="0.15">
      <c r="A304" s="39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9"/>
    </row>
    <row r="305" spans="1:16" ht="13" x14ac:dyDescent="0.15">
      <c r="A305" s="39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9"/>
    </row>
    <row r="306" spans="1:16" ht="13" x14ac:dyDescent="0.15">
      <c r="A306" s="39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9"/>
    </row>
    <row r="307" spans="1:16" ht="13" x14ac:dyDescent="0.15">
      <c r="A307" s="39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9"/>
    </row>
    <row r="308" spans="1:16" ht="13" x14ac:dyDescent="0.15">
      <c r="A308" s="39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9"/>
    </row>
    <row r="309" spans="1:16" ht="13" x14ac:dyDescent="0.15">
      <c r="A309" s="39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9"/>
    </row>
    <row r="310" spans="1:16" ht="13" x14ac:dyDescent="0.15">
      <c r="A310" s="39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9"/>
    </row>
    <row r="311" spans="1:16" ht="13" x14ac:dyDescent="0.15">
      <c r="A311" s="39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9"/>
    </row>
    <row r="312" spans="1:16" ht="13" x14ac:dyDescent="0.15">
      <c r="A312" s="39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9"/>
    </row>
    <row r="313" spans="1:16" ht="13" x14ac:dyDescent="0.15">
      <c r="A313" s="39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9"/>
    </row>
    <row r="314" spans="1:16" ht="13" x14ac:dyDescent="0.15">
      <c r="A314" s="39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9"/>
    </row>
    <row r="315" spans="1:16" ht="13" x14ac:dyDescent="0.15">
      <c r="A315" s="39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9"/>
    </row>
    <row r="316" spans="1:16" ht="13" x14ac:dyDescent="0.15">
      <c r="A316" s="39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9"/>
    </row>
    <row r="317" spans="1:16" ht="13" x14ac:dyDescent="0.15">
      <c r="A317" s="39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9"/>
    </row>
    <row r="318" spans="1:16" ht="13" x14ac:dyDescent="0.15">
      <c r="A318" s="39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9"/>
    </row>
    <row r="319" spans="1:16" ht="13" x14ac:dyDescent="0.15">
      <c r="A319" s="39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9"/>
    </row>
    <row r="320" spans="1:16" ht="13" x14ac:dyDescent="0.15">
      <c r="A320" s="39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9"/>
    </row>
    <row r="321" spans="1:16" ht="13" x14ac:dyDescent="0.15">
      <c r="A321" s="39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9"/>
    </row>
    <row r="322" spans="1:16" ht="13" x14ac:dyDescent="0.15">
      <c r="A322" s="39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9"/>
    </row>
    <row r="323" spans="1:16" ht="13" x14ac:dyDescent="0.15">
      <c r="A323" s="39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9"/>
    </row>
    <row r="324" spans="1:16" ht="13" x14ac:dyDescent="0.15">
      <c r="A324" s="39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9"/>
    </row>
    <row r="325" spans="1:16" ht="13" x14ac:dyDescent="0.15">
      <c r="A325" s="39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9"/>
    </row>
    <row r="326" spans="1:16" ht="13" x14ac:dyDescent="0.15">
      <c r="A326" s="39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9"/>
    </row>
    <row r="327" spans="1:16" ht="13" x14ac:dyDescent="0.15">
      <c r="A327" s="39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9"/>
    </row>
    <row r="328" spans="1:16" ht="13" x14ac:dyDescent="0.15">
      <c r="A328" s="39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9"/>
    </row>
    <row r="329" spans="1:16" ht="13" x14ac:dyDescent="0.15">
      <c r="A329" s="39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9"/>
    </row>
    <row r="330" spans="1:16" ht="13" x14ac:dyDescent="0.15">
      <c r="A330" s="39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9"/>
    </row>
    <row r="331" spans="1:16" ht="13" x14ac:dyDescent="0.15">
      <c r="A331" s="39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9"/>
    </row>
    <row r="332" spans="1:16" ht="13" x14ac:dyDescent="0.15">
      <c r="A332" s="39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9"/>
    </row>
    <row r="333" spans="1:16" ht="13" x14ac:dyDescent="0.15">
      <c r="A333" s="39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9"/>
    </row>
    <row r="334" spans="1:16" ht="13" x14ac:dyDescent="0.15">
      <c r="A334" s="39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9"/>
    </row>
    <row r="335" spans="1:16" ht="13" x14ac:dyDescent="0.15">
      <c r="A335" s="39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9"/>
    </row>
    <row r="336" spans="1:16" ht="13" x14ac:dyDescent="0.15">
      <c r="A336" s="39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9"/>
    </row>
    <row r="337" spans="1:16" ht="13" x14ac:dyDescent="0.15">
      <c r="A337" s="39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9"/>
    </row>
    <row r="338" spans="1:16" ht="13" x14ac:dyDescent="0.15">
      <c r="A338" s="39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9"/>
    </row>
    <row r="339" spans="1:16" ht="13" x14ac:dyDescent="0.15">
      <c r="A339" s="39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9"/>
    </row>
    <row r="340" spans="1:16" ht="13" x14ac:dyDescent="0.15">
      <c r="A340" s="39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9"/>
    </row>
    <row r="341" spans="1:16" ht="13" x14ac:dyDescent="0.15">
      <c r="A341" s="39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9"/>
    </row>
    <row r="342" spans="1:16" ht="13" x14ac:dyDescent="0.15">
      <c r="A342" s="39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9"/>
    </row>
    <row r="343" spans="1:16" ht="13" x14ac:dyDescent="0.15">
      <c r="A343" s="39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9"/>
    </row>
    <row r="344" spans="1:16" ht="13" x14ac:dyDescent="0.15">
      <c r="A344" s="39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9"/>
    </row>
    <row r="345" spans="1:16" ht="13" x14ac:dyDescent="0.15">
      <c r="A345" s="39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9"/>
    </row>
    <row r="346" spans="1:16" ht="13" x14ac:dyDescent="0.15">
      <c r="A346" s="39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9"/>
    </row>
    <row r="347" spans="1:16" ht="13" x14ac:dyDescent="0.15">
      <c r="A347" s="39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9"/>
    </row>
    <row r="348" spans="1:16" ht="13" x14ac:dyDescent="0.15">
      <c r="A348" s="39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9"/>
    </row>
    <row r="349" spans="1:16" ht="13" x14ac:dyDescent="0.15">
      <c r="A349" s="39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9"/>
    </row>
    <row r="350" spans="1:16" ht="13" x14ac:dyDescent="0.15">
      <c r="A350" s="39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9"/>
    </row>
    <row r="351" spans="1:16" ht="13" x14ac:dyDescent="0.15">
      <c r="A351" s="39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9"/>
    </row>
    <row r="352" spans="1:16" ht="13" x14ac:dyDescent="0.15">
      <c r="A352" s="39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9"/>
    </row>
    <row r="353" spans="1:16" ht="13" x14ac:dyDescent="0.15">
      <c r="A353" s="39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9"/>
    </row>
    <row r="354" spans="1:16" ht="13" x14ac:dyDescent="0.15">
      <c r="A354" s="39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9"/>
    </row>
    <row r="355" spans="1:16" ht="13" x14ac:dyDescent="0.15">
      <c r="A355" s="39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9"/>
    </row>
    <row r="356" spans="1:16" ht="13" x14ac:dyDescent="0.15">
      <c r="A356" s="39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9"/>
    </row>
    <row r="357" spans="1:16" ht="13" x14ac:dyDescent="0.15">
      <c r="A357" s="39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9"/>
    </row>
    <row r="358" spans="1:16" ht="13" x14ac:dyDescent="0.15">
      <c r="A358" s="39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9"/>
    </row>
    <row r="359" spans="1:16" ht="13" x14ac:dyDescent="0.15">
      <c r="A359" s="39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9"/>
    </row>
    <row r="360" spans="1:16" ht="13" x14ac:dyDescent="0.15">
      <c r="A360" s="39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9"/>
    </row>
    <row r="361" spans="1:16" ht="13" x14ac:dyDescent="0.15">
      <c r="A361" s="39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9"/>
    </row>
    <row r="362" spans="1:16" ht="13" x14ac:dyDescent="0.15">
      <c r="A362" s="39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9"/>
    </row>
    <row r="363" spans="1:16" ht="13" x14ac:dyDescent="0.15">
      <c r="A363" s="39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9"/>
    </row>
    <row r="364" spans="1:16" ht="13" x14ac:dyDescent="0.15">
      <c r="A364" s="39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9"/>
    </row>
    <row r="365" spans="1:16" ht="13" x14ac:dyDescent="0.15">
      <c r="A365" s="39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9"/>
    </row>
    <row r="366" spans="1:16" ht="13" x14ac:dyDescent="0.15">
      <c r="A366" s="39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9"/>
    </row>
    <row r="367" spans="1:16" ht="13" x14ac:dyDescent="0.15">
      <c r="A367" s="39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9"/>
    </row>
    <row r="368" spans="1:16" ht="13" x14ac:dyDescent="0.15">
      <c r="A368" s="39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9"/>
    </row>
    <row r="369" spans="1:16" ht="13" x14ac:dyDescent="0.15">
      <c r="A369" s="39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9"/>
    </row>
    <row r="370" spans="1:16" ht="13" x14ac:dyDescent="0.15">
      <c r="A370" s="39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9"/>
    </row>
    <row r="371" spans="1:16" ht="13" x14ac:dyDescent="0.15">
      <c r="A371" s="39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9"/>
    </row>
    <row r="372" spans="1:16" ht="13" x14ac:dyDescent="0.15">
      <c r="A372" s="39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9"/>
    </row>
    <row r="373" spans="1:16" ht="13" x14ac:dyDescent="0.15">
      <c r="A373" s="39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9"/>
    </row>
    <row r="374" spans="1:16" ht="13" x14ac:dyDescent="0.15">
      <c r="A374" s="39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9"/>
    </row>
    <row r="375" spans="1:16" ht="13" x14ac:dyDescent="0.15">
      <c r="A375" s="39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9"/>
    </row>
    <row r="376" spans="1:16" ht="13" x14ac:dyDescent="0.15">
      <c r="A376" s="39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9"/>
    </row>
    <row r="377" spans="1:16" ht="13" x14ac:dyDescent="0.15">
      <c r="A377" s="39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9"/>
    </row>
    <row r="378" spans="1:16" ht="13" x14ac:dyDescent="0.15">
      <c r="A378" s="39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9"/>
    </row>
    <row r="379" spans="1:16" ht="13" x14ac:dyDescent="0.15">
      <c r="A379" s="39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9"/>
    </row>
    <row r="380" spans="1:16" ht="13" x14ac:dyDescent="0.15">
      <c r="A380" s="39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9"/>
    </row>
    <row r="381" spans="1:16" ht="13" x14ac:dyDescent="0.15">
      <c r="A381" s="39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9"/>
    </row>
    <row r="382" spans="1:16" ht="13" x14ac:dyDescent="0.15">
      <c r="A382" s="39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9"/>
    </row>
    <row r="383" spans="1:16" ht="13" x14ac:dyDescent="0.15">
      <c r="A383" s="39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9"/>
    </row>
    <row r="384" spans="1:16" ht="13" x14ac:dyDescent="0.15">
      <c r="A384" s="39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9"/>
    </row>
    <row r="385" spans="1:16" ht="13" x14ac:dyDescent="0.15">
      <c r="A385" s="39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9"/>
    </row>
    <row r="386" spans="1:16" ht="13" x14ac:dyDescent="0.15">
      <c r="A386" s="39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9"/>
    </row>
    <row r="387" spans="1:16" ht="13" x14ac:dyDescent="0.15">
      <c r="A387" s="39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9"/>
    </row>
    <row r="388" spans="1:16" ht="13" x14ac:dyDescent="0.15">
      <c r="A388" s="39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9"/>
    </row>
    <row r="389" spans="1:16" ht="13" x14ac:dyDescent="0.15">
      <c r="A389" s="39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9"/>
    </row>
    <row r="390" spans="1:16" ht="13" x14ac:dyDescent="0.15">
      <c r="A390" s="39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9"/>
    </row>
    <row r="391" spans="1:16" ht="13" x14ac:dyDescent="0.15">
      <c r="A391" s="39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9"/>
    </row>
    <row r="392" spans="1:16" ht="13" x14ac:dyDescent="0.15">
      <c r="A392" s="39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9"/>
    </row>
    <row r="393" spans="1:16" ht="13" x14ac:dyDescent="0.15">
      <c r="A393" s="39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9"/>
    </row>
    <row r="394" spans="1:16" ht="13" x14ac:dyDescent="0.15">
      <c r="A394" s="39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9"/>
    </row>
    <row r="395" spans="1:16" ht="13" x14ac:dyDescent="0.15">
      <c r="A395" s="39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9"/>
    </row>
    <row r="396" spans="1:16" ht="13" x14ac:dyDescent="0.15">
      <c r="A396" s="39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9"/>
    </row>
    <row r="397" spans="1:16" ht="13" x14ac:dyDescent="0.15">
      <c r="A397" s="39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9"/>
    </row>
    <row r="398" spans="1:16" ht="13" x14ac:dyDescent="0.15">
      <c r="A398" s="39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9"/>
    </row>
    <row r="399" spans="1:16" ht="13" x14ac:dyDescent="0.15">
      <c r="A399" s="39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9"/>
    </row>
    <row r="400" spans="1:16" ht="13" x14ac:dyDescent="0.15">
      <c r="A400" s="39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9"/>
    </row>
    <row r="401" spans="1:16" ht="13" x14ac:dyDescent="0.15">
      <c r="A401" s="39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9"/>
    </row>
    <row r="402" spans="1:16" ht="13" x14ac:dyDescent="0.15">
      <c r="A402" s="39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9"/>
    </row>
    <row r="403" spans="1:16" ht="13" x14ac:dyDescent="0.15">
      <c r="A403" s="39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9"/>
    </row>
    <row r="404" spans="1:16" ht="13" x14ac:dyDescent="0.15">
      <c r="A404" s="39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9"/>
    </row>
    <row r="405" spans="1:16" ht="13" x14ac:dyDescent="0.15">
      <c r="A405" s="39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9"/>
    </row>
    <row r="406" spans="1:16" ht="13" x14ac:dyDescent="0.15">
      <c r="A406" s="39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9"/>
    </row>
    <row r="407" spans="1:16" ht="13" x14ac:dyDescent="0.15">
      <c r="A407" s="39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9"/>
    </row>
    <row r="408" spans="1:16" ht="13" x14ac:dyDescent="0.15">
      <c r="A408" s="39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9"/>
    </row>
    <row r="409" spans="1:16" ht="13" x14ac:dyDescent="0.15">
      <c r="A409" s="39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9"/>
    </row>
    <row r="410" spans="1:16" ht="13" x14ac:dyDescent="0.15">
      <c r="A410" s="39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9"/>
    </row>
    <row r="411" spans="1:16" ht="13" x14ac:dyDescent="0.15">
      <c r="A411" s="39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9"/>
    </row>
    <row r="412" spans="1:16" ht="13" x14ac:dyDescent="0.15">
      <c r="A412" s="39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9"/>
    </row>
    <row r="413" spans="1:16" ht="13" x14ac:dyDescent="0.15">
      <c r="A413" s="39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9"/>
    </row>
    <row r="414" spans="1:16" ht="13" x14ac:dyDescent="0.15">
      <c r="A414" s="39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9"/>
    </row>
    <row r="415" spans="1:16" ht="13" x14ac:dyDescent="0.15">
      <c r="A415" s="39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9"/>
    </row>
    <row r="416" spans="1:16" ht="13" x14ac:dyDescent="0.15">
      <c r="A416" s="39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9"/>
    </row>
    <row r="417" spans="1:16" ht="13" x14ac:dyDescent="0.15">
      <c r="A417" s="39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9"/>
    </row>
    <row r="418" spans="1:16" ht="13" x14ac:dyDescent="0.15">
      <c r="A418" s="39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9"/>
    </row>
    <row r="419" spans="1:16" ht="13" x14ac:dyDescent="0.15">
      <c r="A419" s="39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9"/>
    </row>
    <row r="420" spans="1:16" ht="13" x14ac:dyDescent="0.15">
      <c r="A420" s="39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9"/>
    </row>
    <row r="421" spans="1:16" ht="13" x14ac:dyDescent="0.15">
      <c r="A421" s="39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9"/>
    </row>
    <row r="422" spans="1:16" ht="13" x14ac:dyDescent="0.15">
      <c r="A422" s="39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9"/>
    </row>
    <row r="423" spans="1:16" ht="13" x14ac:dyDescent="0.15">
      <c r="A423" s="39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9"/>
    </row>
    <row r="424" spans="1:16" ht="13" x14ac:dyDescent="0.15">
      <c r="A424" s="39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9"/>
    </row>
    <row r="425" spans="1:16" ht="13" x14ac:dyDescent="0.15">
      <c r="A425" s="39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9"/>
    </row>
    <row r="426" spans="1:16" ht="13" x14ac:dyDescent="0.15">
      <c r="A426" s="39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9"/>
    </row>
    <row r="427" spans="1:16" ht="13" x14ac:dyDescent="0.15">
      <c r="A427" s="39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9"/>
    </row>
    <row r="428" spans="1:16" ht="13" x14ac:dyDescent="0.15">
      <c r="A428" s="39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9"/>
    </row>
    <row r="429" spans="1:16" ht="13" x14ac:dyDescent="0.15">
      <c r="A429" s="39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9"/>
    </row>
    <row r="430" spans="1:16" ht="13" x14ac:dyDescent="0.15">
      <c r="A430" s="39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9"/>
    </row>
    <row r="431" spans="1:16" ht="13" x14ac:dyDescent="0.15">
      <c r="A431" s="39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9"/>
    </row>
    <row r="432" spans="1:16" ht="13" x14ac:dyDescent="0.15">
      <c r="A432" s="39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9"/>
    </row>
    <row r="433" spans="1:16" ht="13" x14ac:dyDescent="0.15">
      <c r="A433" s="39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9"/>
    </row>
    <row r="434" spans="1:16" ht="13" x14ac:dyDescent="0.15">
      <c r="A434" s="39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9"/>
    </row>
    <row r="435" spans="1:16" ht="13" x14ac:dyDescent="0.15">
      <c r="A435" s="39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9"/>
    </row>
    <row r="436" spans="1:16" ht="13" x14ac:dyDescent="0.15">
      <c r="A436" s="39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9"/>
    </row>
    <row r="437" spans="1:16" ht="13" x14ac:dyDescent="0.15">
      <c r="A437" s="39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9"/>
    </row>
    <row r="438" spans="1:16" ht="13" x14ac:dyDescent="0.15">
      <c r="A438" s="39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9"/>
    </row>
    <row r="439" spans="1:16" ht="13" x14ac:dyDescent="0.15">
      <c r="A439" s="39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9"/>
    </row>
    <row r="440" spans="1:16" ht="13" x14ac:dyDescent="0.15">
      <c r="A440" s="39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9"/>
    </row>
    <row r="441" spans="1:16" ht="13" x14ac:dyDescent="0.15">
      <c r="A441" s="39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9"/>
    </row>
    <row r="442" spans="1:16" ht="13" x14ac:dyDescent="0.15">
      <c r="A442" s="39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9"/>
    </row>
    <row r="443" spans="1:16" ht="13" x14ac:dyDescent="0.15">
      <c r="A443" s="39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9"/>
    </row>
    <row r="444" spans="1:16" ht="13" x14ac:dyDescent="0.15">
      <c r="A444" s="39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9"/>
    </row>
    <row r="445" spans="1:16" ht="13" x14ac:dyDescent="0.15">
      <c r="A445" s="39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9"/>
    </row>
    <row r="446" spans="1:16" ht="13" x14ac:dyDescent="0.15">
      <c r="A446" s="39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9"/>
    </row>
    <row r="447" spans="1:16" ht="13" x14ac:dyDescent="0.15">
      <c r="A447" s="39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9"/>
    </row>
    <row r="448" spans="1:16" ht="13" x14ac:dyDescent="0.15">
      <c r="A448" s="39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9"/>
    </row>
    <row r="449" spans="1:16" ht="13" x14ac:dyDescent="0.15">
      <c r="A449" s="39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9"/>
    </row>
    <row r="450" spans="1:16" ht="13" x14ac:dyDescent="0.15">
      <c r="A450" s="39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9"/>
    </row>
    <row r="451" spans="1:16" ht="13" x14ac:dyDescent="0.15">
      <c r="A451" s="39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9"/>
    </row>
    <row r="452" spans="1:16" ht="13" x14ac:dyDescent="0.15">
      <c r="A452" s="39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9"/>
    </row>
    <row r="453" spans="1:16" ht="13" x14ac:dyDescent="0.15">
      <c r="A453" s="39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9"/>
    </row>
    <row r="454" spans="1:16" ht="13" x14ac:dyDescent="0.15">
      <c r="A454" s="39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9"/>
    </row>
    <row r="455" spans="1:16" ht="13" x14ac:dyDescent="0.15">
      <c r="A455" s="39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9"/>
    </row>
    <row r="456" spans="1:16" ht="13" x14ac:dyDescent="0.15">
      <c r="A456" s="39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9"/>
    </row>
    <row r="457" spans="1:16" ht="13" x14ac:dyDescent="0.15">
      <c r="A457" s="39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9"/>
    </row>
    <row r="458" spans="1:16" ht="13" x14ac:dyDescent="0.15">
      <c r="A458" s="39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9"/>
    </row>
    <row r="459" spans="1:16" ht="13" x14ac:dyDescent="0.15">
      <c r="A459" s="39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9"/>
    </row>
    <row r="460" spans="1:16" ht="13" x14ac:dyDescent="0.15">
      <c r="A460" s="39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9"/>
    </row>
    <row r="461" spans="1:16" ht="13" x14ac:dyDescent="0.15">
      <c r="A461" s="39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9"/>
    </row>
    <row r="462" spans="1:16" ht="13" x14ac:dyDescent="0.15">
      <c r="A462" s="39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9"/>
    </row>
    <row r="463" spans="1:16" ht="13" x14ac:dyDescent="0.15">
      <c r="A463" s="39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9"/>
    </row>
    <row r="464" spans="1:16" ht="13" x14ac:dyDescent="0.15">
      <c r="A464" s="39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9"/>
    </row>
    <row r="465" spans="1:16" ht="13" x14ac:dyDescent="0.15">
      <c r="A465" s="39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9"/>
    </row>
    <row r="466" spans="1:16" ht="13" x14ac:dyDescent="0.15">
      <c r="A466" s="39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9"/>
    </row>
    <row r="467" spans="1:16" ht="13" x14ac:dyDescent="0.15">
      <c r="A467" s="39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9"/>
    </row>
    <row r="468" spans="1:16" ht="13" x14ac:dyDescent="0.15">
      <c r="A468" s="39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9"/>
    </row>
    <row r="469" spans="1:16" ht="13" x14ac:dyDescent="0.15">
      <c r="A469" s="39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9"/>
    </row>
    <row r="470" spans="1:16" ht="13" x14ac:dyDescent="0.15">
      <c r="A470" s="39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9"/>
    </row>
    <row r="471" spans="1:16" ht="13" x14ac:dyDescent="0.15">
      <c r="A471" s="39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9"/>
    </row>
    <row r="472" spans="1:16" ht="13" x14ac:dyDescent="0.15">
      <c r="A472" s="39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9"/>
    </row>
    <row r="473" spans="1:16" ht="13" x14ac:dyDescent="0.15">
      <c r="A473" s="39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9"/>
    </row>
    <row r="474" spans="1:16" ht="13" x14ac:dyDescent="0.15">
      <c r="A474" s="39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9"/>
    </row>
    <row r="475" spans="1:16" ht="13" x14ac:dyDescent="0.15">
      <c r="A475" s="39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9"/>
    </row>
    <row r="476" spans="1:16" ht="13" x14ac:dyDescent="0.15">
      <c r="A476" s="39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9"/>
    </row>
    <row r="477" spans="1:16" ht="13" x14ac:dyDescent="0.15">
      <c r="A477" s="39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9"/>
    </row>
    <row r="478" spans="1:16" ht="13" x14ac:dyDescent="0.15">
      <c r="A478" s="39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9"/>
    </row>
    <row r="479" spans="1:16" ht="13" x14ac:dyDescent="0.15">
      <c r="A479" s="39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9"/>
    </row>
    <row r="480" spans="1:16" ht="13" x14ac:dyDescent="0.15">
      <c r="A480" s="39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9"/>
    </row>
    <row r="481" spans="1:16" ht="13" x14ac:dyDescent="0.15">
      <c r="A481" s="39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9"/>
    </row>
    <row r="482" spans="1:16" ht="13" x14ac:dyDescent="0.15">
      <c r="A482" s="39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9"/>
    </row>
    <row r="483" spans="1:16" ht="13" x14ac:dyDescent="0.15">
      <c r="A483" s="39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9"/>
    </row>
    <row r="484" spans="1:16" ht="13" x14ac:dyDescent="0.15">
      <c r="A484" s="39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9"/>
    </row>
    <row r="485" spans="1:16" ht="13" x14ac:dyDescent="0.15">
      <c r="A485" s="39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9"/>
    </row>
    <row r="486" spans="1:16" ht="13" x14ac:dyDescent="0.15">
      <c r="A486" s="39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9"/>
    </row>
    <row r="487" spans="1:16" ht="13" x14ac:dyDescent="0.15">
      <c r="A487" s="39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9"/>
    </row>
    <row r="488" spans="1:16" ht="13" x14ac:dyDescent="0.15">
      <c r="A488" s="39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9"/>
    </row>
    <row r="489" spans="1:16" ht="13" x14ac:dyDescent="0.15">
      <c r="A489" s="39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9"/>
    </row>
    <row r="490" spans="1:16" ht="13" x14ac:dyDescent="0.15">
      <c r="A490" s="39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9"/>
    </row>
    <row r="491" spans="1:16" ht="13" x14ac:dyDescent="0.15">
      <c r="A491" s="39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9"/>
    </row>
    <row r="492" spans="1:16" ht="13" x14ac:dyDescent="0.15">
      <c r="A492" s="39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9"/>
    </row>
    <row r="493" spans="1:16" ht="13" x14ac:dyDescent="0.15">
      <c r="A493" s="39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9"/>
    </row>
    <row r="494" spans="1:16" ht="13" x14ac:dyDescent="0.15">
      <c r="A494" s="39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9"/>
    </row>
    <row r="495" spans="1:16" ht="13" x14ac:dyDescent="0.15">
      <c r="A495" s="39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9"/>
    </row>
    <row r="496" spans="1:16" ht="13" x14ac:dyDescent="0.15">
      <c r="A496" s="39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9"/>
    </row>
    <row r="497" spans="1:16" ht="13" x14ac:dyDescent="0.15">
      <c r="A497" s="39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9"/>
    </row>
    <row r="498" spans="1:16" ht="13" x14ac:dyDescent="0.15">
      <c r="A498" s="39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9"/>
    </row>
    <row r="499" spans="1:16" ht="13" x14ac:dyDescent="0.15">
      <c r="A499" s="39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9"/>
    </row>
    <row r="500" spans="1:16" ht="13" x14ac:dyDescent="0.15">
      <c r="A500" s="39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9"/>
    </row>
    <row r="501" spans="1:16" ht="13" x14ac:dyDescent="0.15">
      <c r="A501" s="39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9"/>
    </row>
    <row r="502" spans="1:16" ht="13" x14ac:dyDescent="0.15">
      <c r="A502" s="39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9"/>
    </row>
    <row r="503" spans="1:16" ht="13" x14ac:dyDescent="0.15">
      <c r="A503" s="39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9"/>
    </row>
    <row r="504" spans="1:16" ht="13" x14ac:dyDescent="0.15">
      <c r="A504" s="39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9"/>
    </row>
    <row r="505" spans="1:16" ht="13" x14ac:dyDescent="0.15">
      <c r="A505" s="39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9"/>
    </row>
    <row r="506" spans="1:16" ht="13" x14ac:dyDescent="0.15">
      <c r="A506" s="39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9"/>
    </row>
    <row r="507" spans="1:16" ht="13" x14ac:dyDescent="0.15">
      <c r="A507" s="39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9"/>
    </row>
    <row r="508" spans="1:16" ht="13" x14ac:dyDescent="0.15">
      <c r="A508" s="39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9"/>
    </row>
    <row r="509" spans="1:16" ht="13" x14ac:dyDescent="0.15">
      <c r="A509" s="39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9"/>
    </row>
    <row r="510" spans="1:16" ht="13" x14ac:dyDescent="0.15">
      <c r="A510" s="39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9"/>
    </row>
    <row r="511" spans="1:16" ht="13" x14ac:dyDescent="0.15">
      <c r="A511" s="39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9"/>
    </row>
    <row r="512" spans="1:16" ht="13" x14ac:dyDescent="0.15">
      <c r="A512" s="39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9"/>
    </row>
    <row r="513" spans="1:16" ht="13" x14ac:dyDescent="0.15">
      <c r="A513" s="39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9"/>
    </row>
    <row r="514" spans="1:16" ht="13" x14ac:dyDescent="0.15">
      <c r="A514" s="39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9"/>
    </row>
    <row r="515" spans="1:16" ht="13" x14ac:dyDescent="0.15">
      <c r="A515" s="39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9"/>
    </row>
    <row r="516" spans="1:16" ht="13" x14ac:dyDescent="0.15">
      <c r="A516" s="39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9"/>
    </row>
    <row r="517" spans="1:16" ht="13" x14ac:dyDescent="0.15">
      <c r="A517" s="39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9"/>
    </row>
    <row r="518" spans="1:16" ht="13" x14ac:dyDescent="0.15">
      <c r="A518" s="39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9"/>
    </row>
    <row r="519" spans="1:16" ht="13" x14ac:dyDescent="0.15">
      <c r="A519" s="39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9"/>
    </row>
    <row r="520" spans="1:16" ht="13" x14ac:dyDescent="0.15">
      <c r="A520" s="39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9"/>
    </row>
    <row r="521" spans="1:16" ht="13" x14ac:dyDescent="0.15">
      <c r="A521" s="39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9"/>
    </row>
    <row r="522" spans="1:16" ht="13" x14ac:dyDescent="0.15">
      <c r="A522" s="39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9"/>
    </row>
    <row r="523" spans="1:16" ht="13" x14ac:dyDescent="0.15">
      <c r="A523" s="39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9"/>
    </row>
    <row r="524" spans="1:16" ht="13" x14ac:dyDescent="0.15">
      <c r="A524" s="39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9"/>
    </row>
    <row r="525" spans="1:16" ht="13" x14ac:dyDescent="0.15">
      <c r="A525" s="39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9"/>
    </row>
    <row r="526" spans="1:16" ht="13" x14ac:dyDescent="0.15">
      <c r="A526" s="39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9"/>
    </row>
    <row r="527" spans="1:16" ht="13" x14ac:dyDescent="0.15">
      <c r="A527" s="39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9"/>
    </row>
    <row r="528" spans="1:16" ht="13" x14ac:dyDescent="0.15">
      <c r="A528" s="39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9"/>
    </row>
    <row r="529" spans="1:16" ht="13" x14ac:dyDescent="0.15">
      <c r="A529" s="39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9"/>
    </row>
    <row r="530" spans="1:16" ht="13" x14ac:dyDescent="0.15">
      <c r="A530" s="39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9"/>
    </row>
    <row r="531" spans="1:16" ht="13" x14ac:dyDescent="0.15">
      <c r="A531" s="39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9"/>
    </row>
    <row r="532" spans="1:16" ht="13" x14ac:dyDescent="0.15">
      <c r="A532" s="39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9"/>
    </row>
    <row r="533" spans="1:16" ht="13" x14ac:dyDescent="0.15">
      <c r="A533" s="39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9"/>
    </row>
    <row r="534" spans="1:16" ht="13" x14ac:dyDescent="0.15">
      <c r="A534" s="39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9"/>
    </row>
    <row r="535" spans="1:16" ht="13" x14ac:dyDescent="0.15">
      <c r="A535" s="39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9"/>
    </row>
    <row r="536" spans="1:16" ht="13" x14ac:dyDescent="0.15">
      <c r="A536" s="39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9"/>
    </row>
    <row r="537" spans="1:16" ht="13" x14ac:dyDescent="0.15">
      <c r="A537" s="39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9"/>
    </row>
    <row r="538" spans="1:16" ht="13" x14ac:dyDescent="0.15">
      <c r="A538" s="39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9"/>
    </row>
    <row r="539" spans="1:16" ht="13" x14ac:dyDescent="0.15">
      <c r="A539" s="39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9"/>
    </row>
    <row r="540" spans="1:16" ht="13" x14ac:dyDescent="0.15">
      <c r="A540" s="39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9"/>
    </row>
    <row r="541" spans="1:16" ht="13" x14ac:dyDescent="0.15">
      <c r="A541" s="39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9"/>
    </row>
    <row r="542" spans="1:16" ht="13" x14ac:dyDescent="0.15">
      <c r="A542" s="39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9"/>
    </row>
    <row r="543" spans="1:16" ht="13" x14ac:dyDescent="0.15">
      <c r="A543" s="39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9"/>
    </row>
    <row r="544" spans="1:16" ht="13" x14ac:dyDescent="0.15">
      <c r="A544" s="39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9"/>
    </row>
    <row r="545" spans="1:16" ht="13" x14ac:dyDescent="0.15">
      <c r="A545" s="39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9"/>
    </row>
    <row r="546" spans="1:16" ht="13" x14ac:dyDescent="0.15">
      <c r="A546" s="39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9"/>
    </row>
    <row r="547" spans="1:16" ht="13" x14ac:dyDescent="0.15">
      <c r="A547" s="39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9"/>
    </row>
    <row r="548" spans="1:16" ht="13" x14ac:dyDescent="0.15">
      <c r="A548" s="39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9"/>
    </row>
    <row r="549" spans="1:16" ht="13" x14ac:dyDescent="0.15">
      <c r="A549" s="39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9"/>
    </row>
    <row r="550" spans="1:16" ht="13" x14ac:dyDescent="0.15">
      <c r="A550" s="39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9"/>
    </row>
    <row r="551" spans="1:16" ht="13" x14ac:dyDescent="0.15">
      <c r="A551" s="39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9"/>
    </row>
    <row r="552" spans="1:16" ht="13" x14ac:dyDescent="0.15">
      <c r="A552" s="39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9"/>
    </row>
    <row r="553" spans="1:16" ht="13" x14ac:dyDescent="0.15">
      <c r="A553" s="39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9"/>
    </row>
    <row r="554" spans="1:16" ht="13" x14ac:dyDescent="0.15">
      <c r="A554" s="39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9"/>
    </row>
    <row r="555" spans="1:16" ht="13" x14ac:dyDescent="0.15">
      <c r="A555" s="39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9"/>
    </row>
    <row r="556" spans="1:16" ht="13" x14ac:dyDescent="0.15">
      <c r="A556" s="39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9"/>
    </row>
    <row r="557" spans="1:16" ht="13" x14ac:dyDescent="0.15">
      <c r="A557" s="39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9"/>
    </row>
    <row r="558" spans="1:16" ht="13" x14ac:dyDescent="0.15">
      <c r="A558" s="39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9"/>
    </row>
    <row r="559" spans="1:16" ht="13" x14ac:dyDescent="0.15">
      <c r="A559" s="39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9"/>
    </row>
    <row r="560" spans="1:16" ht="13" x14ac:dyDescent="0.15">
      <c r="A560" s="39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9"/>
    </row>
    <row r="561" spans="1:16" ht="13" x14ac:dyDescent="0.15">
      <c r="A561" s="39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9"/>
    </row>
    <row r="562" spans="1:16" ht="13" x14ac:dyDescent="0.15">
      <c r="A562" s="39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9"/>
    </row>
    <row r="563" spans="1:16" ht="13" x14ac:dyDescent="0.15">
      <c r="A563" s="39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9"/>
    </row>
    <row r="564" spans="1:16" ht="13" x14ac:dyDescent="0.15">
      <c r="A564" s="39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9"/>
    </row>
    <row r="565" spans="1:16" ht="13" x14ac:dyDescent="0.15">
      <c r="A565" s="39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9"/>
    </row>
    <row r="566" spans="1:16" ht="13" x14ac:dyDescent="0.15">
      <c r="A566" s="39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9"/>
    </row>
    <row r="567" spans="1:16" ht="13" x14ac:dyDescent="0.15">
      <c r="A567" s="39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9"/>
    </row>
    <row r="568" spans="1:16" ht="13" x14ac:dyDescent="0.15">
      <c r="A568" s="39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9"/>
    </row>
    <row r="569" spans="1:16" ht="13" x14ac:dyDescent="0.15">
      <c r="A569" s="39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9"/>
    </row>
    <row r="570" spans="1:16" ht="13" x14ac:dyDescent="0.15">
      <c r="A570" s="39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9"/>
    </row>
    <row r="571" spans="1:16" ht="13" x14ac:dyDescent="0.15">
      <c r="A571" s="39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9"/>
    </row>
    <row r="572" spans="1:16" ht="13" x14ac:dyDescent="0.15">
      <c r="A572" s="39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9"/>
    </row>
    <row r="573" spans="1:16" ht="13" x14ac:dyDescent="0.15">
      <c r="A573" s="39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9"/>
    </row>
    <row r="574" spans="1:16" ht="13" x14ac:dyDescent="0.15">
      <c r="A574" s="39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9"/>
    </row>
    <row r="575" spans="1:16" ht="13" x14ac:dyDescent="0.15">
      <c r="A575" s="39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9"/>
    </row>
    <row r="576" spans="1:16" ht="13" x14ac:dyDescent="0.15">
      <c r="A576" s="39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9"/>
    </row>
    <row r="577" spans="1:16" ht="13" x14ac:dyDescent="0.15">
      <c r="A577" s="39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9"/>
    </row>
    <row r="578" spans="1:16" ht="13" x14ac:dyDescent="0.15">
      <c r="A578" s="39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9"/>
    </row>
    <row r="579" spans="1:16" ht="13" x14ac:dyDescent="0.15">
      <c r="A579" s="39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9"/>
    </row>
    <row r="580" spans="1:16" ht="13" x14ac:dyDescent="0.15">
      <c r="A580" s="39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9"/>
    </row>
    <row r="581" spans="1:16" ht="13" x14ac:dyDescent="0.15">
      <c r="A581" s="39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9"/>
    </row>
    <row r="582" spans="1:16" ht="13" x14ac:dyDescent="0.15">
      <c r="A582" s="39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9"/>
    </row>
    <row r="583" spans="1:16" ht="13" x14ac:dyDescent="0.15">
      <c r="A583" s="39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9"/>
    </row>
    <row r="584" spans="1:16" ht="13" x14ac:dyDescent="0.15">
      <c r="A584" s="39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9"/>
    </row>
    <row r="585" spans="1:16" ht="13" x14ac:dyDescent="0.15">
      <c r="A585" s="39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9"/>
    </row>
    <row r="586" spans="1:16" ht="13" x14ac:dyDescent="0.15">
      <c r="A586" s="39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9"/>
    </row>
    <row r="587" spans="1:16" ht="13" x14ac:dyDescent="0.15">
      <c r="A587" s="39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9"/>
    </row>
    <row r="588" spans="1:16" ht="13" x14ac:dyDescent="0.15">
      <c r="A588" s="39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9"/>
    </row>
    <row r="589" spans="1:16" ht="13" x14ac:dyDescent="0.15">
      <c r="A589" s="39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9"/>
    </row>
    <row r="590" spans="1:16" ht="13" x14ac:dyDescent="0.15">
      <c r="A590" s="39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9"/>
    </row>
    <row r="591" spans="1:16" ht="13" x14ac:dyDescent="0.15">
      <c r="A591" s="39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9"/>
    </row>
    <row r="592" spans="1:16" ht="13" x14ac:dyDescent="0.15">
      <c r="A592" s="39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9"/>
    </row>
    <row r="593" spans="1:16" ht="13" x14ac:dyDescent="0.15">
      <c r="A593" s="39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9"/>
    </row>
    <row r="594" spans="1:16" ht="13" x14ac:dyDescent="0.15">
      <c r="A594" s="39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9"/>
    </row>
    <row r="595" spans="1:16" ht="13" x14ac:dyDescent="0.15">
      <c r="A595" s="39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9"/>
    </row>
    <row r="596" spans="1:16" ht="13" x14ac:dyDescent="0.15">
      <c r="A596" s="39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9"/>
    </row>
    <row r="597" spans="1:16" ht="13" x14ac:dyDescent="0.15">
      <c r="A597" s="39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9"/>
    </row>
    <row r="598" spans="1:16" ht="13" x14ac:dyDescent="0.15">
      <c r="A598" s="39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9"/>
    </row>
    <row r="599" spans="1:16" ht="13" x14ac:dyDescent="0.15">
      <c r="A599" s="39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9"/>
    </row>
    <row r="600" spans="1:16" ht="13" x14ac:dyDescent="0.15">
      <c r="A600" s="39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9"/>
    </row>
    <row r="601" spans="1:16" ht="13" x14ac:dyDescent="0.15">
      <c r="A601" s="39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9"/>
    </row>
    <row r="602" spans="1:16" ht="13" x14ac:dyDescent="0.15">
      <c r="A602" s="39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9"/>
    </row>
    <row r="603" spans="1:16" ht="13" x14ac:dyDescent="0.15">
      <c r="A603" s="39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9"/>
    </row>
    <row r="604" spans="1:16" ht="13" x14ac:dyDescent="0.15">
      <c r="A604" s="39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9"/>
    </row>
    <row r="605" spans="1:16" ht="13" x14ac:dyDescent="0.15">
      <c r="A605" s="39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9"/>
    </row>
    <row r="606" spans="1:16" ht="13" x14ac:dyDescent="0.15">
      <c r="A606" s="39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9"/>
    </row>
    <row r="607" spans="1:16" ht="13" x14ac:dyDescent="0.15">
      <c r="A607" s="39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9"/>
    </row>
    <row r="608" spans="1:16" ht="13" x14ac:dyDescent="0.15">
      <c r="A608" s="39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9"/>
    </row>
    <row r="609" spans="1:16" ht="13" x14ac:dyDescent="0.15">
      <c r="A609" s="39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9"/>
    </row>
    <row r="610" spans="1:16" ht="13" x14ac:dyDescent="0.15">
      <c r="A610" s="39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9"/>
    </row>
    <row r="611" spans="1:16" ht="13" x14ac:dyDescent="0.15">
      <c r="A611" s="39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9"/>
    </row>
    <row r="612" spans="1:16" ht="13" x14ac:dyDescent="0.15">
      <c r="A612" s="39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9"/>
    </row>
    <row r="613" spans="1:16" ht="13" x14ac:dyDescent="0.15">
      <c r="A613" s="39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9"/>
    </row>
    <row r="614" spans="1:16" ht="13" x14ac:dyDescent="0.15">
      <c r="A614" s="39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9"/>
    </row>
    <row r="615" spans="1:16" ht="13" x14ac:dyDescent="0.15">
      <c r="A615" s="39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9"/>
    </row>
    <row r="616" spans="1:16" ht="13" x14ac:dyDescent="0.15">
      <c r="A616" s="39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9"/>
    </row>
    <row r="617" spans="1:16" ht="13" x14ac:dyDescent="0.15">
      <c r="A617" s="39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9"/>
    </row>
    <row r="618" spans="1:16" ht="13" x14ac:dyDescent="0.15">
      <c r="A618" s="39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9"/>
    </row>
    <row r="619" spans="1:16" ht="13" x14ac:dyDescent="0.15">
      <c r="A619" s="39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9"/>
    </row>
    <row r="620" spans="1:16" ht="13" x14ac:dyDescent="0.15">
      <c r="A620" s="39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9"/>
    </row>
    <row r="621" spans="1:16" ht="13" x14ac:dyDescent="0.15">
      <c r="A621" s="39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9"/>
    </row>
    <row r="622" spans="1:16" ht="13" x14ac:dyDescent="0.15">
      <c r="A622" s="39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9"/>
    </row>
    <row r="623" spans="1:16" ht="13" x14ac:dyDescent="0.15">
      <c r="A623" s="39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9"/>
    </row>
    <row r="624" spans="1:16" ht="13" x14ac:dyDescent="0.15">
      <c r="A624" s="39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9"/>
    </row>
    <row r="625" spans="1:16" ht="13" x14ac:dyDescent="0.15">
      <c r="A625" s="39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9"/>
    </row>
    <row r="626" spans="1:16" ht="13" x14ac:dyDescent="0.15">
      <c r="A626" s="39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9"/>
    </row>
    <row r="627" spans="1:16" ht="13" x14ac:dyDescent="0.15">
      <c r="A627" s="39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9"/>
    </row>
    <row r="628" spans="1:16" ht="13" x14ac:dyDescent="0.15">
      <c r="A628" s="39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9"/>
    </row>
    <row r="629" spans="1:16" ht="13" x14ac:dyDescent="0.15">
      <c r="A629" s="39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9"/>
    </row>
    <row r="630" spans="1:16" ht="13" x14ac:dyDescent="0.15">
      <c r="A630" s="39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9"/>
    </row>
    <row r="631" spans="1:16" ht="13" x14ac:dyDescent="0.15">
      <c r="A631" s="39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9"/>
    </row>
    <row r="632" spans="1:16" ht="13" x14ac:dyDescent="0.15">
      <c r="A632" s="39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9"/>
    </row>
    <row r="633" spans="1:16" ht="13" x14ac:dyDescent="0.15">
      <c r="A633" s="39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9"/>
    </row>
    <row r="634" spans="1:16" ht="13" x14ac:dyDescent="0.15">
      <c r="A634" s="39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9"/>
    </row>
    <row r="635" spans="1:16" ht="13" x14ac:dyDescent="0.15">
      <c r="A635" s="39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9"/>
    </row>
    <row r="636" spans="1:16" ht="13" x14ac:dyDescent="0.15">
      <c r="A636" s="39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9"/>
    </row>
    <row r="637" spans="1:16" ht="13" x14ac:dyDescent="0.15">
      <c r="A637" s="39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9"/>
    </row>
    <row r="638" spans="1:16" ht="13" x14ac:dyDescent="0.15">
      <c r="A638" s="39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9"/>
    </row>
    <row r="639" spans="1:16" ht="13" x14ac:dyDescent="0.15">
      <c r="A639" s="39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9"/>
    </row>
    <row r="640" spans="1:16" ht="13" x14ac:dyDescent="0.15">
      <c r="A640" s="39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9"/>
    </row>
    <row r="641" spans="1:16" ht="13" x14ac:dyDescent="0.15">
      <c r="A641" s="39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9"/>
    </row>
    <row r="642" spans="1:16" ht="13" x14ac:dyDescent="0.15">
      <c r="A642" s="39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9"/>
    </row>
    <row r="643" spans="1:16" ht="13" x14ac:dyDescent="0.15">
      <c r="A643" s="39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9"/>
    </row>
    <row r="644" spans="1:16" ht="13" x14ac:dyDescent="0.15">
      <c r="A644" s="39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9"/>
    </row>
    <row r="645" spans="1:16" ht="13" x14ac:dyDescent="0.15">
      <c r="A645" s="39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9"/>
    </row>
    <row r="646" spans="1:16" ht="13" x14ac:dyDescent="0.15">
      <c r="A646" s="39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9"/>
    </row>
    <row r="647" spans="1:16" ht="13" x14ac:dyDescent="0.15">
      <c r="A647" s="39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9"/>
    </row>
    <row r="648" spans="1:16" ht="13" x14ac:dyDescent="0.15">
      <c r="A648" s="39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9"/>
    </row>
    <row r="649" spans="1:16" ht="13" x14ac:dyDescent="0.15">
      <c r="A649" s="39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9"/>
    </row>
    <row r="650" spans="1:16" ht="13" x14ac:dyDescent="0.15">
      <c r="A650" s="39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9"/>
    </row>
    <row r="651" spans="1:16" ht="13" x14ac:dyDescent="0.15">
      <c r="A651" s="39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9"/>
    </row>
    <row r="652" spans="1:16" ht="13" x14ac:dyDescent="0.15">
      <c r="A652" s="39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9"/>
    </row>
    <row r="653" spans="1:16" ht="13" x14ac:dyDescent="0.15">
      <c r="A653" s="39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9"/>
    </row>
    <row r="654" spans="1:16" ht="13" x14ac:dyDescent="0.15">
      <c r="A654" s="39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9"/>
    </row>
    <row r="655" spans="1:16" ht="13" x14ac:dyDescent="0.15">
      <c r="A655" s="39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9"/>
    </row>
    <row r="656" spans="1:16" ht="13" x14ac:dyDescent="0.15">
      <c r="A656" s="39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9"/>
    </row>
    <row r="657" spans="1:16" ht="13" x14ac:dyDescent="0.15">
      <c r="A657" s="39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9"/>
    </row>
    <row r="658" spans="1:16" ht="13" x14ac:dyDescent="0.15">
      <c r="A658" s="39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9"/>
    </row>
    <row r="659" spans="1:16" ht="13" x14ac:dyDescent="0.15">
      <c r="A659" s="39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9"/>
    </row>
    <row r="660" spans="1:16" ht="13" x14ac:dyDescent="0.15">
      <c r="A660" s="39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9"/>
    </row>
    <row r="661" spans="1:16" ht="13" x14ac:dyDescent="0.15">
      <c r="A661" s="39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9"/>
    </row>
    <row r="662" spans="1:16" ht="13" x14ac:dyDescent="0.15">
      <c r="A662" s="39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9"/>
    </row>
    <row r="663" spans="1:16" ht="13" x14ac:dyDescent="0.15">
      <c r="A663" s="39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9"/>
    </row>
    <row r="664" spans="1:16" ht="13" x14ac:dyDescent="0.15">
      <c r="A664" s="39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9"/>
    </row>
    <row r="665" spans="1:16" ht="13" x14ac:dyDescent="0.15">
      <c r="A665" s="39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9"/>
    </row>
    <row r="666" spans="1:16" ht="13" x14ac:dyDescent="0.15">
      <c r="A666" s="39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9"/>
    </row>
    <row r="667" spans="1:16" ht="13" x14ac:dyDescent="0.15">
      <c r="A667" s="39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9"/>
    </row>
    <row r="668" spans="1:16" ht="13" x14ac:dyDescent="0.15">
      <c r="A668" s="39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9"/>
    </row>
    <row r="669" spans="1:16" ht="13" x14ac:dyDescent="0.15">
      <c r="A669" s="39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9"/>
    </row>
    <row r="670" spans="1:16" ht="13" x14ac:dyDescent="0.15">
      <c r="A670" s="39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9"/>
    </row>
    <row r="671" spans="1:16" ht="13" x14ac:dyDescent="0.15">
      <c r="A671" s="39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9"/>
    </row>
    <row r="672" spans="1:16" ht="13" x14ac:dyDescent="0.15">
      <c r="A672" s="39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9"/>
    </row>
    <row r="673" spans="1:16" ht="13" x14ac:dyDescent="0.15">
      <c r="A673" s="39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9"/>
    </row>
    <row r="674" spans="1:16" ht="13" x14ac:dyDescent="0.15">
      <c r="A674" s="39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9"/>
    </row>
    <row r="675" spans="1:16" ht="13" x14ac:dyDescent="0.15">
      <c r="A675" s="39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9"/>
    </row>
    <row r="676" spans="1:16" ht="13" x14ac:dyDescent="0.15">
      <c r="A676" s="39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9"/>
    </row>
    <row r="677" spans="1:16" ht="13" x14ac:dyDescent="0.15">
      <c r="A677" s="39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9"/>
    </row>
    <row r="678" spans="1:16" ht="13" x14ac:dyDescent="0.15">
      <c r="A678" s="39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9"/>
    </row>
    <row r="679" spans="1:16" ht="13" x14ac:dyDescent="0.15">
      <c r="A679" s="39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9"/>
    </row>
    <row r="680" spans="1:16" ht="13" x14ac:dyDescent="0.15">
      <c r="A680" s="39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9"/>
    </row>
    <row r="681" spans="1:16" ht="13" x14ac:dyDescent="0.15">
      <c r="A681" s="39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9"/>
    </row>
    <row r="682" spans="1:16" ht="13" x14ac:dyDescent="0.15">
      <c r="A682" s="39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9"/>
    </row>
    <row r="683" spans="1:16" ht="13" x14ac:dyDescent="0.15">
      <c r="A683" s="39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9"/>
    </row>
    <row r="684" spans="1:16" ht="13" x14ac:dyDescent="0.15">
      <c r="A684" s="39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9"/>
    </row>
    <row r="685" spans="1:16" ht="13" x14ac:dyDescent="0.15">
      <c r="A685" s="39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9"/>
    </row>
    <row r="686" spans="1:16" ht="13" x14ac:dyDescent="0.15">
      <c r="A686" s="39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9"/>
    </row>
    <row r="687" spans="1:16" ht="13" x14ac:dyDescent="0.15">
      <c r="A687" s="39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9"/>
    </row>
    <row r="688" spans="1:16" ht="13" x14ac:dyDescent="0.15">
      <c r="A688" s="39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9"/>
    </row>
    <row r="689" spans="1:16" ht="13" x14ac:dyDescent="0.15">
      <c r="A689" s="39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9"/>
    </row>
    <row r="690" spans="1:16" ht="13" x14ac:dyDescent="0.15">
      <c r="A690" s="39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9"/>
    </row>
    <row r="691" spans="1:16" ht="13" x14ac:dyDescent="0.15">
      <c r="A691" s="39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9"/>
    </row>
    <row r="692" spans="1:16" ht="13" x14ac:dyDescent="0.15">
      <c r="A692" s="39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9"/>
    </row>
    <row r="693" spans="1:16" ht="13" x14ac:dyDescent="0.15">
      <c r="A693" s="39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9"/>
    </row>
    <row r="694" spans="1:16" ht="13" x14ac:dyDescent="0.15">
      <c r="A694" s="39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9"/>
    </row>
    <row r="695" spans="1:16" ht="13" x14ac:dyDescent="0.15">
      <c r="A695" s="39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9"/>
    </row>
    <row r="696" spans="1:16" ht="13" x14ac:dyDescent="0.15">
      <c r="A696" s="39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9"/>
    </row>
    <row r="697" spans="1:16" ht="13" x14ac:dyDescent="0.15">
      <c r="A697" s="39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9"/>
    </row>
    <row r="698" spans="1:16" ht="13" x14ac:dyDescent="0.15">
      <c r="A698" s="39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9"/>
    </row>
    <row r="699" spans="1:16" ht="13" x14ac:dyDescent="0.15">
      <c r="A699" s="39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9"/>
    </row>
    <row r="700" spans="1:16" ht="13" x14ac:dyDescent="0.15">
      <c r="A700" s="39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9"/>
    </row>
    <row r="701" spans="1:16" ht="13" x14ac:dyDescent="0.15">
      <c r="A701" s="39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9"/>
    </row>
    <row r="702" spans="1:16" ht="13" x14ac:dyDescent="0.15">
      <c r="A702" s="39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9"/>
    </row>
    <row r="703" spans="1:16" ht="13" x14ac:dyDescent="0.15">
      <c r="A703" s="39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9"/>
    </row>
    <row r="704" spans="1:16" ht="13" x14ac:dyDescent="0.15">
      <c r="A704" s="39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9"/>
    </row>
    <row r="705" spans="1:16" ht="13" x14ac:dyDescent="0.15">
      <c r="A705" s="39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9"/>
    </row>
    <row r="706" spans="1:16" ht="13" x14ac:dyDescent="0.15">
      <c r="A706" s="39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9"/>
    </row>
    <row r="707" spans="1:16" ht="13" x14ac:dyDescent="0.15">
      <c r="A707" s="39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9"/>
    </row>
    <row r="708" spans="1:16" ht="13" x14ac:dyDescent="0.15">
      <c r="A708" s="39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9"/>
    </row>
    <row r="709" spans="1:16" ht="13" x14ac:dyDescent="0.15">
      <c r="A709" s="39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9"/>
    </row>
    <row r="710" spans="1:16" ht="13" x14ac:dyDescent="0.15">
      <c r="A710" s="39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9"/>
    </row>
    <row r="711" spans="1:16" ht="13" x14ac:dyDescent="0.15">
      <c r="A711" s="39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9"/>
    </row>
    <row r="712" spans="1:16" ht="13" x14ac:dyDescent="0.15">
      <c r="A712" s="39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9"/>
    </row>
    <row r="713" spans="1:16" ht="13" x14ac:dyDescent="0.15">
      <c r="A713" s="39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9"/>
    </row>
    <row r="714" spans="1:16" ht="13" x14ac:dyDescent="0.15">
      <c r="A714" s="39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9"/>
    </row>
    <row r="715" spans="1:16" ht="13" x14ac:dyDescent="0.15">
      <c r="A715" s="39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9"/>
    </row>
    <row r="716" spans="1:16" ht="13" x14ac:dyDescent="0.15">
      <c r="A716" s="39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9"/>
    </row>
    <row r="717" spans="1:16" ht="13" x14ac:dyDescent="0.15">
      <c r="A717" s="39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9"/>
    </row>
    <row r="718" spans="1:16" ht="13" x14ac:dyDescent="0.15">
      <c r="A718" s="39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9"/>
    </row>
    <row r="719" spans="1:16" ht="13" x14ac:dyDescent="0.15">
      <c r="A719" s="39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9"/>
    </row>
    <row r="720" spans="1:16" ht="13" x14ac:dyDescent="0.15">
      <c r="A720" s="39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9"/>
    </row>
    <row r="721" spans="1:16" ht="13" x14ac:dyDescent="0.15">
      <c r="A721" s="39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9"/>
    </row>
    <row r="722" spans="1:16" ht="13" x14ac:dyDescent="0.15">
      <c r="A722" s="39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9"/>
    </row>
    <row r="723" spans="1:16" ht="13" x14ac:dyDescent="0.15">
      <c r="A723" s="39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9"/>
    </row>
    <row r="724" spans="1:16" ht="13" x14ac:dyDescent="0.15">
      <c r="A724" s="39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9"/>
    </row>
    <row r="725" spans="1:16" ht="13" x14ac:dyDescent="0.15">
      <c r="A725" s="39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9"/>
    </row>
    <row r="726" spans="1:16" ht="13" x14ac:dyDescent="0.15">
      <c r="A726" s="39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9"/>
    </row>
    <row r="727" spans="1:16" ht="13" x14ac:dyDescent="0.15">
      <c r="A727" s="39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9"/>
    </row>
    <row r="728" spans="1:16" ht="13" x14ac:dyDescent="0.15">
      <c r="A728" s="39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9"/>
    </row>
    <row r="729" spans="1:16" ht="13" x14ac:dyDescent="0.15">
      <c r="A729" s="39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9"/>
    </row>
    <row r="730" spans="1:16" ht="13" x14ac:dyDescent="0.15">
      <c r="A730" s="39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9"/>
    </row>
    <row r="731" spans="1:16" ht="13" x14ac:dyDescent="0.15">
      <c r="A731" s="39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9"/>
    </row>
    <row r="732" spans="1:16" ht="13" x14ac:dyDescent="0.15">
      <c r="A732" s="39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9"/>
    </row>
    <row r="733" spans="1:16" ht="13" x14ac:dyDescent="0.15">
      <c r="A733" s="39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9"/>
    </row>
    <row r="734" spans="1:16" ht="13" x14ac:dyDescent="0.15">
      <c r="A734" s="39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9"/>
    </row>
    <row r="735" spans="1:16" ht="13" x14ac:dyDescent="0.15">
      <c r="A735" s="39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9"/>
    </row>
    <row r="736" spans="1:16" ht="13" x14ac:dyDescent="0.15">
      <c r="A736" s="39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9"/>
    </row>
    <row r="737" spans="1:16" ht="13" x14ac:dyDescent="0.15">
      <c r="A737" s="39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9"/>
    </row>
    <row r="738" spans="1:16" ht="13" x14ac:dyDescent="0.15">
      <c r="A738" s="39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9"/>
    </row>
    <row r="739" spans="1:16" ht="13" x14ac:dyDescent="0.15">
      <c r="A739" s="39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9"/>
    </row>
    <row r="740" spans="1:16" ht="13" x14ac:dyDescent="0.15">
      <c r="A740" s="39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9"/>
    </row>
    <row r="741" spans="1:16" ht="13" x14ac:dyDescent="0.15">
      <c r="A741" s="39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9"/>
    </row>
    <row r="742" spans="1:16" ht="13" x14ac:dyDescent="0.15">
      <c r="A742" s="39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9"/>
    </row>
    <row r="743" spans="1:16" ht="13" x14ac:dyDescent="0.15">
      <c r="A743" s="39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9"/>
    </row>
    <row r="744" spans="1:16" ht="13" x14ac:dyDescent="0.15">
      <c r="A744" s="39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9"/>
    </row>
    <row r="745" spans="1:16" ht="13" x14ac:dyDescent="0.15">
      <c r="A745" s="39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9"/>
    </row>
    <row r="746" spans="1:16" ht="13" x14ac:dyDescent="0.15">
      <c r="A746" s="39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9"/>
    </row>
    <row r="747" spans="1:16" ht="13" x14ac:dyDescent="0.15">
      <c r="A747" s="39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9"/>
    </row>
    <row r="748" spans="1:16" ht="13" x14ac:dyDescent="0.15">
      <c r="A748" s="39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9"/>
    </row>
    <row r="749" spans="1:16" ht="13" x14ac:dyDescent="0.15">
      <c r="A749" s="39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9"/>
    </row>
    <row r="750" spans="1:16" ht="13" x14ac:dyDescent="0.15">
      <c r="A750" s="39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9"/>
    </row>
    <row r="751" spans="1:16" ht="13" x14ac:dyDescent="0.15">
      <c r="A751" s="39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9"/>
    </row>
    <row r="752" spans="1:16" ht="13" x14ac:dyDescent="0.15">
      <c r="A752" s="39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9"/>
    </row>
    <row r="753" spans="1:16" ht="13" x14ac:dyDescent="0.15">
      <c r="A753" s="39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9"/>
    </row>
    <row r="754" spans="1:16" ht="13" x14ac:dyDescent="0.15">
      <c r="A754" s="39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9"/>
    </row>
    <row r="755" spans="1:16" ht="13" x14ac:dyDescent="0.15">
      <c r="A755" s="39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9"/>
    </row>
    <row r="756" spans="1:16" ht="13" x14ac:dyDescent="0.15">
      <c r="A756" s="39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9"/>
    </row>
    <row r="757" spans="1:16" ht="13" x14ac:dyDescent="0.15">
      <c r="A757" s="39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9"/>
    </row>
    <row r="758" spans="1:16" ht="13" x14ac:dyDescent="0.15">
      <c r="A758" s="39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9"/>
    </row>
    <row r="759" spans="1:16" ht="13" x14ac:dyDescent="0.15">
      <c r="A759" s="39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9"/>
    </row>
    <row r="760" spans="1:16" ht="13" x14ac:dyDescent="0.15">
      <c r="A760" s="39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9"/>
    </row>
    <row r="761" spans="1:16" ht="13" x14ac:dyDescent="0.15">
      <c r="A761" s="39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9"/>
    </row>
    <row r="762" spans="1:16" ht="13" x14ac:dyDescent="0.15">
      <c r="A762" s="39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9"/>
    </row>
    <row r="763" spans="1:16" ht="13" x14ac:dyDescent="0.15">
      <c r="A763" s="39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9"/>
    </row>
    <row r="764" spans="1:16" ht="13" x14ac:dyDescent="0.15">
      <c r="A764" s="39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9"/>
    </row>
    <row r="765" spans="1:16" ht="13" x14ac:dyDescent="0.15">
      <c r="A765" s="39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9"/>
    </row>
    <row r="766" spans="1:16" ht="13" x14ac:dyDescent="0.15">
      <c r="A766" s="39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9"/>
    </row>
    <row r="767" spans="1:16" ht="13" x14ac:dyDescent="0.15">
      <c r="A767" s="39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9"/>
    </row>
    <row r="768" spans="1:16" ht="13" x14ac:dyDescent="0.15">
      <c r="A768" s="39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9"/>
    </row>
    <row r="769" spans="1:16" ht="13" x14ac:dyDescent="0.15">
      <c r="A769" s="39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9"/>
    </row>
    <row r="770" spans="1:16" ht="13" x14ac:dyDescent="0.15">
      <c r="A770" s="39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9"/>
    </row>
    <row r="771" spans="1:16" ht="13" x14ac:dyDescent="0.15">
      <c r="A771" s="39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9"/>
    </row>
    <row r="772" spans="1:16" ht="13" x14ac:dyDescent="0.15">
      <c r="A772" s="39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9"/>
    </row>
    <row r="773" spans="1:16" ht="13" x14ac:dyDescent="0.15">
      <c r="A773" s="39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9"/>
    </row>
    <row r="774" spans="1:16" ht="13" x14ac:dyDescent="0.15">
      <c r="A774" s="39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9"/>
    </row>
    <row r="775" spans="1:16" ht="13" x14ac:dyDescent="0.15">
      <c r="A775" s="39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9"/>
    </row>
    <row r="776" spans="1:16" ht="13" x14ac:dyDescent="0.15">
      <c r="A776" s="39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9"/>
    </row>
    <row r="777" spans="1:16" ht="13" x14ac:dyDescent="0.15">
      <c r="A777" s="39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9"/>
    </row>
    <row r="778" spans="1:16" ht="13" x14ac:dyDescent="0.15">
      <c r="A778" s="39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9"/>
    </row>
    <row r="779" spans="1:16" ht="13" x14ac:dyDescent="0.15">
      <c r="A779" s="39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9"/>
    </row>
    <row r="780" spans="1:16" ht="13" x14ac:dyDescent="0.15">
      <c r="A780" s="39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9"/>
    </row>
    <row r="781" spans="1:16" ht="13" x14ac:dyDescent="0.15">
      <c r="A781" s="39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9"/>
    </row>
    <row r="782" spans="1:16" ht="13" x14ac:dyDescent="0.15">
      <c r="A782" s="39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9"/>
    </row>
    <row r="783" spans="1:16" ht="13" x14ac:dyDescent="0.15">
      <c r="A783" s="39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9"/>
    </row>
    <row r="784" spans="1:16" ht="13" x14ac:dyDescent="0.15">
      <c r="A784" s="39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9"/>
    </row>
    <row r="785" spans="1:16" ht="13" x14ac:dyDescent="0.15">
      <c r="A785" s="39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9"/>
    </row>
    <row r="786" spans="1:16" ht="13" x14ac:dyDescent="0.15">
      <c r="A786" s="39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9"/>
    </row>
    <row r="787" spans="1:16" ht="13" x14ac:dyDescent="0.15">
      <c r="A787" s="39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9"/>
    </row>
    <row r="788" spans="1:16" ht="13" x14ac:dyDescent="0.15">
      <c r="A788" s="39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9"/>
    </row>
    <row r="789" spans="1:16" ht="13" x14ac:dyDescent="0.15">
      <c r="A789" s="39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9"/>
    </row>
    <row r="790" spans="1:16" ht="13" x14ac:dyDescent="0.15">
      <c r="A790" s="39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9"/>
    </row>
    <row r="791" spans="1:16" ht="13" x14ac:dyDescent="0.15">
      <c r="A791" s="39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9"/>
    </row>
    <row r="792" spans="1:16" ht="13" x14ac:dyDescent="0.15">
      <c r="A792" s="39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9"/>
    </row>
    <row r="793" spans="1:16" ht="13" x14ac:dyDescent="0.15">
      <c r="A793" s="39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9"/>
    </row>
    <row r="794" spans="1:16" ht="13" x14ac:dyDescent="0.15">
      <c r="A794" s="39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9"/>
    </row>
    <row r="795" spans="1:16" ht="13" x14ac:dyDescent="0.15">
      <c r="A795" s="39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9"/>
    </row>
    <row r="796" spans="1:16" ht="13" x14ac:dyDescent="0.15">
      <c r="A796" s="39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9"/>
    </row>
    <row r="797" spans="1:16" ht="13" x14ac:dyDescent="0.15">
      <c r="A797" s="39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9"/>
    </row>
    <row r="798" spans="1:16" ht="13" x14ac:dyDescent="0.15">
      <c r="A798" s="39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9"/>
    </row>
    <row r="799" spans="1:16" ht="13" x14ac:dyDescent="0.15">
      <c r="A799" s="39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9"/>
    </row>
    <row r="800" spans="1:16" ht="13" x14ac:dyDescent="0.15">
      <c r="A800" s="39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9"/>
    </row>
    <row r="801" spans="1:16" ht="13" x14ac:dyDescent="0.15">
      <c r="A801" s="39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9"/>
    </row>
    <row r="802" spans="1:16" ht="13" x14ac:dyDescent="0.15">
      <c r="A802" s="39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9"/>
    </row>
    <row r="803" spans="1:16" ht="13" x14ac:dyDescent="0.15">
      <c r="A803" s="39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9"/>
    </row>
    <row r="804" spans="1:16" ht="13" x14ac:dyDescent="0.15">
      <c r="A804" s="39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9"/>
    </row>
    <row r="805" spans="1:16" ht="13" x14ac:dyDescent="0.15">
      <c r="A805" s="39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9"/>
    </row>
    <row r="806" spans="1:16" ht="13" x14ac:dyDescent="0.15">
      <c r="A806" s="39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9"/>
    </row>
    <row r="807" spans="1:16" ht="13" x14ac:dyDescent="0.15">
      <c r="A807" s="39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9"/>
    </row>
    <row r="808" spans="1:16" ht="13" x14ac:dyDescent="0.15">
      <c r="A808" s="39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9"/>
    </row>
    <row r="809" spans="1:16" ht="13" x14ac:dyDescent="0.15">
      <c r="A809" s="39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9"/>
    </row>
    <row r="810" spans="1:16" ht="13" x14ac:dyDescent="0.15">
      <c r="A810" s="39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9"/>
    </row>
    <row r="811" spans="1:16" ht="13" x14ac:dyDescent="0.15">
      <c r="A811" s="39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9"/>
    </row>
    <row r="812" spans="1:16" ht="13" x14ac:dyDescent="0.15">
      <c r="A812" s="39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9"/>
    </row>
    <row r="813" spans="1:16" ht="13" x14ac:dyDescent="0.15">
      <c r="A813" s="39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9"/>
    </row>
    <row r="814" spans="1:16" ht="13" x14ac:dyDescent="0.15">
      <c r="A814" s="39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9"/>
    </row>
    <row r="815" spans="1:16" ht="13" x14ac:dyDescent="0.15">
      <c r="A815" s="39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9"/>
    </row>
    <row r="816" spans="1:16" ht="13" x14ac:dyDescent="0.15">
      <c r="A816" s="39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9"/>
    </row>
    <row r="817" spans="1:16" ht="13" x14ac:dyDescent="0.15">
      <c r="A817" s="39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9"/>
    </row>
    <row r="818" spans="1:16" ht="13" x14ac:dyDescent="0.15">
      <c r="A818" s="39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9"/>
    </row>
    <row r="819" spans="1:16" ht="13" x14ac:dyDescent="0.15">
      <c r="A819" s="39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9"/>
    </row>
    <row r="820" spans="1:16" ht="13" x14ac:dyDescent="0.15">
      <c r="A820" s="39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9"/>
    </row>
    <row r="821" spans="1:16" ht="13" x14ac:dyDescent="0.15">
      <c r="A821" s="39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9"/>
    </row>
    <row r="822" spans="1:16" ht="13" x14ac:dyDescent="0.15">
      <c r="A822" s="39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9"/>
    </row>
    <row r="823" spans="1:16" ht="13" x14ac:dyDescent="0.15">
      <c r="A823" s="39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9"/>
    </row>
    <row r="824" spans="1:16" ht="13" x14ac:dyDescent="0.15">
      <c r="A824" s="39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9"/>
    </row>
    <row r="825" spans="1:16" ht="13" x14ac:dyDescent="0.15">
      <c r="A825" s="39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9"/>
    </row>
    <row r="826" spans="1:16" ht="13" x14ac:dyDescent="0.15">
      <c r="A826" s="39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9"/>
    </row>
    <row r="827" spans="1:16" ht="13" x14ac:dyDescent="0.15">
      <c r="A827" s="39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9"/>
    </row>
    <row r="828" spans="1:16" ht="13" x14ac:dyDescent="0.15">
      <c r="A828" s="39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9"/>
    </row>
    <row r="829" spans="1:16" ht="13" x14ac:dyDescent="0.15">
      <c r="A829" s="39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9"/>
    </row>
    <row r="830" spans="1:16" ht="13" x14ac:dyDescent="0.15">
      <c r="A830" s="39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9"/>
    </row>
    <row r="831" spans="1:16" ht="13" x14ac:dyDescent="0.15">
      <c r="A831" s="39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9"/>
    </row>
    <row r="832" spans="1:16" ht="13" x14ac:dyDescent="0.15">
      <c r="A832" s="39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9"/>
    </row>
    <row r="833" spans="1:16" ht="13" x14ac:dyDescent="0.15">
      <c r="A833" s="39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9"/>
    </row>
    <row r="834" spans="1:16" ht="13" x14ac:dyDescent="0.15">
      <c r="A834" s="39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9"/>
    </row>
    <row r="835" spans="1:16" ht="13" x14ac:dyDescent="0.15">
      <c r="A835" s="39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9"/>
    </row>
    <row r="836" spans="1:16" ht="13" x14ac:dyDescent="0.15">
      <c r="A836" s="39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9"/>
    </row>
    <row r="837" spans="1:16" ht="13" x14ac:dyDescent="0.15">
      <c r="A837" s="39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9"/>
    </row>
    <row r="838" spans="1:16" ht="13" x14ac:dyDescent="0.15">
      <c r="A838" s="39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9"/>
    </row>
    <row r="839" spans="1:16" ht="13" x14ac:dyDescent="0.15">
      <c r="A839" s="39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9"/>
    </row>
    <row r="840" spans="1:16" ht="13" x14ac:dyDescent="0.15">
      <c r="A840" s="39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9"/>
    </row>
    <row r="841" spans="1:16" ht="13" x14ac:dyDescent="0.15">
      <c r="A841" s="39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9"/>
    </row>
    <row r="842" spans="1:16" ht="13" x14ac:dyDescent="0.15">
      <c r="A842" s="39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9"/>
    </row>
    <row r="843" spans="1:16" ht="13" x14ac:dyDescent="0.15">
      <c r="A843" s="39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9"/>
    </row>
    <row r="844" spans="1:16" ht="13" x14ac:dyDescent="0.15">
      <c r="A844" s="39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9"/>
    </row>
    <row r="845" spans="1:16" ht="13" x14ac:dyDescent="0.15">
      <c r="A845" s="39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9"/>
    </row>
    <row r="846" spans="1:16" ht="13" x14ac:dyDescent="0.15">
      <c r="A846" s="39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9"/>
    </row>
    <row r="847" spans="1:16" ht="13" x14ac:dyDescent="0.15">
      <c r="A847" s="39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9"/>
    </row>
    <row r="848" spans="1:16" ht="13" x14ac:dyDescent="0.15">
      <c r="A848" s="39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9"/>
    </row>
    <row r="849" spans="1:16" ht="13" x14ac:dyDescent="0.15">
      <c r="A849" s="39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9"/>
    </row>
    <row r="850" spans="1:16" ht="13" x14ac:dyDescent="0.15">
      <c r="A850" s="39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9"/>
    </row>
    <row r="851" spans="1:16" ht="13" x14ac:dyDescent="0.15">
      <c r="A851" s="39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9"/>
    </row>
    <row r="852" spans="1:16" ht="13" x14ac:dyDescent="0.15">
      <c r="A852" s="39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9"/>
    </row>
    <row r="853" spans="1:16" ht="13" x14ac:dyDescent="0.15">
      <c r="A853" s="39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9"/>
    </row>
    <row r="854" spans="1:16" ht="13" x14ac:dyDescent="0.15">
      <c r="A854" s="39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9"/>
    </row>
    <row r="855" spans="1:16" ht="13" x14ac:dyDescent="0.15">
      <c r="A855" s="39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9"/>
    </row>
    <row r="856" spans="1:16" ht="13" x14ac:dyDescent="0.15">
      <c r="A856" s="39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9"/>
    </row>
    <row r="857" spans="1:16" ht="13" x14ac:dyDescent="0.15">
      <c r="A857" s="39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9"/>
    </row>
    <row r="858" spans="1:16" ht="13" x14ac:dyDescent="0.15">
      <c r="A858" s="39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9"/>
    </row>
    <row r="859" spans="1:16" ht="13" x14ac:dyDescent="0.15">
      <c r="A859" s="39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9"/>
    </row>
    <row r="860" spans="1:16" ht="13" x14ac:dyDescent="0.15">
      <c r="A860" s="39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9"/>
    </row>
    <row r="861" spans="1:16" ht="13" x14ac:dyDescent="0.15">
      <c r="A861" s="39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9"/>
    </row>
    <row r="862" spans="1:16" ht="13" x14ac:dyDescent="0.15">
      <c r="A862" s="39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9"/>
    </row>
    <row r="863" spans="1:16" ht="13" x14ac:dyDescent="0.15">
      <c r="A863" s="39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9"/>
    </row>
    <row r="864" spans="1:16" ht="13" x14ac:dyDescent="0.15">
      <c r="A864" s="39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9"/>
    </row>
    <row r="865" spans="1:16" ht="13" x14ac:dyDescent="0.15">
      <c r="A865" s="39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9"/>
    </row>
    <row r="866" spans="1:16" ht="13" x14ac:dyDescent="0.15">
      <c r="A866" s="39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9"/>
    </row>
    <row r="867" spans="1:16" ht="13" x14ac:dyDescent="0.15">
      <c r="A867" s="39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9"/>
    </row>
    <row r="868" spans="1:16" ht="13" x14ac:dyDescent="0.15">
      <c r="A868" s="39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9"/>
    </row>
    <row r="869" spans="1:16" ht="13" x14ac:dyDescent="0.15">
      <c r="A869" s="39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9"/>
    </row>
    <row r="870" spans="1:16" ht="13" x14ac:dyDescent="0.15">
      <c r="A870" s="39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9"/>
    </row>
    <row r="871" spans="1:16" ht="13" x14ac:dyDescent="0.15">
      <c r="A871" s="39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9"/>
    </row>
    <row r="872" spans="1:16" ht="13" x14ac:dyDescent="0.15">
      <c r="A872" s="39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9"/>
    </row>
    <row r="873" spans="1:16" ht="13" x14ac:dyDescent="0.15">
      <c r="A873" s="39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9"/>
    </row>
    <row r="874" spans="1:16" ht="13" x14ac:dyDescent="0.15">
      <c r="A874" s="39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9"/>
    </row>
    <row r="875" spans="1:16" ht="13" x14ac:dyDescent="0.15">
      <c r="A875" s="39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9"/>
    </row>
    <row r="876" spans="1:16" ht="13" x14ac:dyDescent="0.15">
      <c r="A876" s="39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9"/>
    </row>
    <row r="877" spans="1:16" ht="13" x14ac:dyDescent="0.15">
      <c r="A877" s="39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9"/>
    </row>
    <row r="878" spans="1:16" ht="13" x14ac:dyDescent="0.15">
      <c r="A878" s="39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9"/>
    </row>
    <row r="879" spans="1:16" ht="13" x14ac:dyDescent="0.15">
      <c r="A879" s="39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9"/>
    </row>
    <row r="880" spans="1:16" ht="13" x14ac:dyDescent="0.15">
      <c r="A880" s="39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9"/>
    </row>
    <row r="881" spans="1:16" ht="13" x14ac:dyDescent="0.15">
      <c r="A881" s="39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9"/>
    </row>
    <row r="882" spans="1:16" ht="13" x14ac:dyDescent="0.15">
      <c r="A882" s="39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9"/>
    </row>
    <row r="883" spans="1:16" ht="13" x14ac:dyDescent="0.15">
      <c r="A883" s="39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9"/>
    </row>
    <row r="884" spans="1:16" ht="13" x14ac:dyDescent="0.15">
      <c r="A884" s="39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9"/>
    </row>
    <row r="885" spans="1:16" ht="13" x14ac:dyDescent="0.15">
      <c r="A885" s="39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9"/>
    </row>
    <row r="886" spans="1:16" ht="13" x14ac:dyDescent="0.15">
      <c r="A886" s="39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9"/>
    </row>
    <row r="887" spans="1:16" ht="13" x14ac:dyDescent="0.15">
      <c r="A887" s="39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9"/>
    </row>
    <row r="888" spans="1:16" ht="13" x14ac:dyDescent="0.15">
      <c r="A888" s="39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9"/>
    </row>
    <row r="889" spans="1:16" ht="13" x14ac:dyDescent="0.15">
      <c r="A889" s="39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9"/>
    </row>
    <row r="890" spans="1:16" ht="13" x14ac:dyDescent="0.15">
      <c r="A890" s="39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9"/>
    </row>
    <row r="891" spans="1:16" ht="13" x14ac:dyDescent="0.15">
      <c r="A891" s="39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9"/>
    </row>
    <row r="892" spans="1:16" ht="13" x14ac:dyDescent="0.15">
      <c r="A892" s="39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9"/>
    </row>
    <row r="893" spans="1:16" ht="13" x14ac:dyDescent="0.15">
      <c r="A893" s="39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9"/>
    </row>
    <row r="894" spans="1:16" ht="13" x14ac:dyDescent="0.15">
      <c r="A894" s="39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9"/>
    </row>
    <row r="895" spans="1:16" ht="13" x14ac:dyDescent="0.15">
      <c r="A895" s="39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9"/>
    </row>
    <row r="896" spans="1:16" ht="13" x14ac:dyDescent="0.15">
      <c r="A896" s="39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9"/>
    </row>
    <row r="897" spans="1:16" ht="13" x14ac:dyDescent="0.15">
      <c r="A897" s="39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9"/>
    </row>
    <row r="898" spans="1:16" ht="13" x14ac:dyDescent="0.15">
      <c r="A898" s="39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9"/>
    </row>
    <row r="899" spans="1:16" ht="13" x14ac:dyDescent="0.15">
      <c r="A899" s="39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9"/>
    </row>
    <row r="900" spans="1:16" ht="13" x14ac:dyDescent="0.15">
      <c r="A900" s="39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9"/>
    </row>
    <row r="901" spans="1:16" ht="13" x14ac:dyDescent="0.15">
      <c r="A901" s="39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9"/>
    </row>
    <row r="902" spans="1:16" ht="13" x14ac:dyDescent="0.15">
      <c r="A902" s="39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9"/>
    </row>
    <row r="903" spans="1:16" ht="13" x14ac:dyDescent="0.15">
      <c r="A903" s="39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9"/>
    </row>
    <row r="904" spans="1:16" ht="13" x14ac:dyDescent="0.15">
      <c r="A904" s="39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9"/>
    </row>
    <row r="905" spans="1:16" ht="13" x14ac:dyDescent="0.15">
      <c r="A905" s="39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9"/>
    </row>
    <row r="906" spans="1:16" ht="13" x14ac:dyDescent="0.15">
      <c r="A906" s="39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9"/>
    </row>
    <row r="907" spans="1:16" ht="13" x14ac:dyDescent="0.15">
      <c r="A907" s="39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9"/>
    </row>
    <row r="908" spans="1:16" ht="13" x14ac:dyDescent="0.15">
      <c r="A908" s="39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9"/>
    </row>
    <row r="909" spans="1:16" ht="13" x14ac:dyDescent="0.15">
      <c r="A909" s="39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9"/>
    </row>
    <row r="910" spans="1:16" ht="13" x14ac:dyDescent="0.15">
      <c r="A910" s="39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9"/>
    </row>
    <row r="911" spans="1:16" ht="13" x14ac:dyDescent="0.15">
      <c r="A911" s="39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9"/>
    </row>
    <row r="912" spans="1:16" ht="13" x14ac:dyDescent="0.15">
      <c r="A912" s="39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9"/>
    </row>
    <row r="913" spans="1:16" ht="13" x14ac:dyDescent="0.15">
      <c r="A913" s="39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9"/>
    </row>
    <row r="914" spans="1:16" ht="13" x14ac:dyDescent="0.15">
      <c r="A914" s="39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9"/>
    </row>
    <row r="915" spans="1:16" ht="13" x14ac:dyDescent="0.15">
      <c r="A915" s="39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9"/>
    </row>
    <row r="916" spans="1:16" ht="13" x14ac:dyDescent="0.15">
      <c r="A916" s="39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9"/>
    </row>
    <row r="917" spans="1:16" ht="13" x14ac:dyDescent="0.15">
      <c r="A917" s="39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9"/>
    </row>
    <row r="918" spans="1:16" ht="13" x14ac:dyDescent="0.15">
      <c r="A918" s="39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9"/>
    </row>
    <row r="919" spans="1:16" ht="13" x14ac:dyDescent="0.15">
      <c r="A919" s="39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9"/>
    </row>
    <row r="920" spans="1:16" ht="13" x14ac:dyDescent="0.15">
      <c r="A920" s="39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9"/>
    </row>
    <row r="921" spans="1:16" ht="13" x14ac:dyDescent="0.15">
      <c r="A921" s="39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9"/>
    </row>
    <row r="922" spans="1:16" ht="13" x14ac:dyDescent="0.15">
      <c r="A922" s="39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9"/>
    </row>
    <row r="923" spans="1:16" ht="13" x14ac:dyDescent="0.15">
      <c r="A923" s="39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9"/>
    </row>
    <row r="924" spans="1:16" ht="13" x14ac:dyDescent="0.15">
      <c r="A924" s="39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9"/>
    </row>
    <row r="925" spans="1:16" ht="13" x14ac:dyDescent="0.15">
      <c r="A925" s="39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9"/>
    </row>
    <row r="926" spans="1:16" ht="13" x14ac:dyDescent="0.15">
      <c r="A926" s="39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9"/>
    </row>
    <row r="927" spans="1:16" ht="13" x14ac:dyDescent="0.15">
      <c r="A927" s="39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9"/>
    </row>
    <row r="928" spans="1:16" ht="13" x14ac:dyDescent="0.15">
      <c r="A928" s="39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9"/>
    </row>
    <row r="929" spans="1:16" ht="13" x14ac:dyDescent="0.15">
      <c r="A929" s="39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9"/>
    </row>
    <row r="930" spans="1:16" ht="13" x14ac:dyDescent="0.15">
      <c r="A930" s="39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9"/>
    </row>
    <row r="931" spans="1:16" ht="13" x14ac:dyDescent="0.15">
      <c r="A931" s="39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9"/>
    </row>
    <row r="932" spans="1:16" ht="13" x14ac:dyDescent="0.15">
      <c r="A932" s="39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9"/>
    </row>
    <row r="933" spans="1:16" ht="13" x14ac:dyDescent="0.15">
      <c r="A933" s="39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9"/>
    </row>
    <row r="934" spans="1:16" ht="13" x14ac:dyDescent="0.15">
      <c r="A934" s="39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9"/>
    </row>
    <row r="935" spans="1:16" ht="13" x14ac:dyDescent="0.15">
      <c r="A935" s="39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9"/>
    </row>
    <row r="936" spans="1:16" ht="13" x14ac:dyDescent="0.15">
      <c r="A936" s="39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9"/>
    </row>
    <row r="937" spans="1:16" ht="13" x14ac:dyDescent="0.15">
      <c r="A937" s="39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9"/>
    </row>
    <row r="938" spans="1:16" ht="13" x14ac:dyDescent="0.15">
      <c r="A938" s="39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9"/>
    </row>
    <row r="939" spans="1:16" ht="13" x14ac:dyDescent="0.15">
      <c r="A939" s="39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9"/>
    </row>
    <row r="940" spans="1:16" ht="13" x14ac:dyDescent="0.15">
      <c r="A940" s="39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9"/>
    </row>
    <row r="941" spans="1:16" ht="13" x14ac:dyDescent="0.15">
      <c r="A941" s="39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9"/>
    </row>
    <row r="942" spans="1:16" ht="13" x14ac:dyDescent="0.15">
      <c r="A942" s="39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9"/>
    </row>
    <row r="943" spans="1:16" ht="13" x14ac:dyDescent="0.15">
      <c r="A943" s="39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9"/>
    </row>
    <row r="944" spans="1:16" ht="13" x14ac:dyDescent="0.15">
      <c r="A944" s="39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9"/>
    </row>
    <row r="945" spans="1:16" ht="13" x14ac:dyDescent="0.15">
      <c r="A945" s="39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9"/>
    </row>
    <row r="946" spans="1:16" ht="13" x14ac:dyDescent="0.15">
      <c r="A946" s="39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9"/>
    </row>
    <row r="947" spans="1:16" ht="13" x14ac:dyDescent="0.15">
      <c r="A947" s="39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9"/>
    </row>
    <row r="948" spans="1:16" ht="13" x14ac:dyDescent="0.15">
      <c r="A948" s="39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9"/>
    </row>
    <row r="949" spans="1:16" ht="13" x14ac:dyDescent="0.15">
      <c r="A949" s="39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9"/>
    </row>
    <row r="950" spans="1:16" ht="13" x14ac:dyDescent="0.15">
      <c r="A950" s="39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9"/>
    </row>
    <row r="951" spans="1:16" ht="13" x14ac:dyDescent="0.15">
      <c r="A951" s="39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9"/>
    </row>
    <row r="952" spans="1:16" ht="13" x14ac:dyDescent="0.15">
      <c r="A952" s="39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9"/>
    </row>
    <row r="953" spans="1:16" ht="13" x14ac:dyDescent="0.15">
      <c r="A953" s="39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9"/>
    </row>
    <row r="954" spans="1:16" ht="13" x14ac:dyDescent="0.15">
      <c r="A954" s="39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9"/>
    </row>
    <row r="955" spans="1:16" ht="13" x14ac:dyDescent="0.15">
      <c r="A955" s="39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9"/>
    </row>
    <row r="956" spans="1:16" ht="13" x14ac:dyDescent="0.15">
      <c r="A956" s="39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9"/>
    </row>
    <row r="957" spans="1:16" ht="13" x14ac:dyDescent="0.15">
      <c r="A957" s="39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9"/>
    </row>
    <row r="958" spans="1:16" ht="13" x14ac:dyDescent="0.15">
      <c r="A958" s="39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9"/>
    </row>
    <row r="959" spans="1:16" ht="13" x14ac:dyDescent="0.15">
      <c r="A959" s="39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9"/>
    </row>
    <row r="960" spans="1:16" ht="13" x14ac:dyDescent="0.15">
      <c r="A960" s="39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9"/>
    </row>
    <row r="961" spans="1:16" ht="13" x14ac:dyDescent="0.15">
      <c r="A961" s="39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9"/>
    </row>
    <row r="962" spans="1:16" ht="13" x14ac:dyDescent="0.15">
      <c r="A962" s="39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9"/>
    </row>
    <row r="963" spans="1:16" ht="13" x14ac:dyDescent="0.15">
      <c r="A963" s="39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9"/>
    </row>
    <row r="964" spans="1:16" ht="13" x14ac:dyDescent="0.15">
      <c r="A964" s="39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9"/>
    </row>
    <row r="965" spans="1:16" ht="13" x14ac:dyDescent="0.15">
      <c r="A965" s="39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9"/>
    </row>
    <row r="966" spans="1:16" ht="13" x14ac:dyDescent="0.15">
      <c r="A966" s="39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9"/>
    </row>
    <row r="967" spans="1:16" ht="13" x14ac:dyDescent="0.15">
      <c r="A967" s="39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9"/>
    </row>
    <row r="968" spans="1:16" ht="13" x14ac:dyDescent="0.15">
      <c r="A968" s="39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9"/>
    </row>
    <row r="969" spans="1:16" ht="13" x14ac:dyDescent="0.15">
      <c r="A969" s="39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9"/>
    </row>
    <row r="970" spans="1:16" ht="13" x14ac:dyDescent="0.15">
      <c r="A970" s="39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9"/>
    </row>
    <row r="971" spans="1:16" ht="13" x14ac:dyDescent="0.15">
      <c r="A971" s="39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9"/>
    </row>
    <row r="972" spans="1:16" ht="13" x14ac:dyDescent="0.15">
      <c r="A972" s="39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9"/>
    </row>
    <row r="973" spans="1:16" ht="13" x14ac:dyDescent="0.15">
      <c r="A973" s="39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9"/>
    </row>
    <row r="974" spans="1:16" ht="13" x14ac:dyDescent="0.15">
      <c r="A974" s="39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9"/>
    </row>
    <row r="975" spans="1:16" ht="13" x14ac:dyDescent="0.15">
      <c r="A975" s="39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9"/>
    </row>
    <row r="976" spans="1:16" ht="13" x14ac:dyDescent="0.15">
      <c r="A976" s="39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9"/>
    </row>
    <row r="977" spans="1:16" ht="13" x14ac:dyDescent="0.15">
      <c r="A977" s="39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9"/>
    </row>
    <row r="978" spans="1:16" ht="13" x14ac:dyDescent="0.15">
      <c r="A978" s="39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9"/>
    </row>
    <row r="979" spans="1:16" ht="13" x14ac:dyDescent="0.15">
      <c r="A979" s="39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9"/>
    </row>
    <row r="980" spans="1:16" ht="13" x14ac:dyDescent="0.15">
      <c r="A980" s="39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9"/>
    </row>
    <row r="981" spans="1:16" ht="13" x14ac:dyDescent="0.15">
      <c r="A981" s="39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9"/>
    </row>
    <row r="982" spans="1:16" ht="13" x14ac:dyDescent="0.15">
      <c r="A982" s="39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9"/>
    </row>
    <row r="983" spans="1:16" ht="13" x14ac:dyDescent="0.15">
      <c r="A983" s="39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9"/>
    </row>
    <row r="984" spans="1:16" ht="13" x14ac:dyDescent="0.15">
      <c r="A984" s="39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9"/>
    </row>
    <row r="985" spans="1:16" ht="13" x14ac:dyDescent="0.15">
      <c r="A985" s="39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9"/>
    </row>
    <row r="986" spans="1:16" ht="13" x14ac:dyDescent="0.15">
      <c r="A986" s="39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9"/>
    </row>
    <row r="987" spans="1:16" ht="13" x14ac:dyDescent="0.15">
      <c r="A987" s="39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9"/>
    </row>
    <row r="988" spans="1:16" ht="13" x14ac:dyDescent="0.15">
      <c r="A988" s="39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9"/>
    </row>
    <row r="989" spans="1:16" ht="13" x14ac:dyDescent="0.15">
      <c r="A989" s="39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9"/>
    </row>
    <row r="990" spans="1:16" ht="13" x14ac:dyDescent="0.15">
      <c r="A990" s="39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9"/>
    </row>
    <row r="991" spans="1:16" ht="13" x14ac:dyDescent="0.15">
      <c r="A991" s="39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9"/>
    </row>
    <row r="992" spans="1:16" ht="13" x14ac:dyDescent="0.15">
      <c r="A992" s="39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9"/>
    </row>
    <row r="993" spans="1:16" ht="13" x14ac:dyDescent="0.15">
      <c r="A993" s="39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9"/>
    </row>
    <row r="994" spans="1:16" ht="13" x14ac:dyDescent="0.15">
      <c r="A994" s="39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9"/>
    </row>
    <row r="995" spans="1:16" ht="13" x14ac:dyDescent="0.15">
      <c r="A995" s="39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9"/>
    </row>
    <row r="996" spans="1:16" ht="13" x14ac:dyDescent="0.15">
      <c r="A996" s="39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9"/>
    </row>
    <row r="997" spans="1:16" ht="13" x14ac:dyDescent="0.15">
      <c r="A997" s="39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9"/>
    </row>
    <row r="998" spans="1:16" ht="13" x14ac:dyDescent="0.15">
      <c r="A998" s="39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9"/>
    </row>
    <row r="999" spans="1:16" ht="13" x14ac:dyDescent="0.15">
      <c r="A999" s="39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9"/>
    </row>
    <row r="1000" spans="1:16" ht="13" x14ac:dyDescent="0.15">
      <c r="A1000" s="39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9"/>
    </row>
    <row r="1001" spans="1:16" ht="13" x14ac:dyDescent="0.15">
      <c r="A1001" s="39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9"/>
    </row>
    <row r="1002" spans="1:16" ht="13" x14ac:dyDescent="0.15">
      <c r="A1002" s="39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000"/>
  <sheetViews>
    <sheetView workbookViewId="0"/>
  </sheetViews>
  <sheetFormatPr baseColWidth="10" defaultColWidth="12.6640625" defaultRowHeight="15" customHeight="1" x14ac:dyDescent="0.15"/>
  <cols>
    <col min="1" max="1" width="10.6640625" customWidth="1"/>
    <col min="2" max="2" width="13.1640625" customWidth="1"/>
    <col min="3" max="26" width="10.6640625" customWidth="1"/>
  </cols>
  <sheetData>
    <row r="1" spans="2:2" ht="12.75" customHeight="1" x14ac:dyDescent="0.15"/>
    <row r="2" spans="2:2" ht="12.75" customHeight="1" x14ac:dyDescent="0.15"/>
    <row r="3" spans="2:2" ht="12.75" customHeight="1" x14ac:dyDescent="0.15"/>
    <row r="4" spans="2:2" ht="12.75" customHeight="1" x14ac:dyDescent="0.15">
      <c r="B4" s="32" t="s">
        <v>140</v>
      </c>
    </row>
    <row r="5" spans="2:2" ht="12.75" customHeight="1" x14ac:dyDescent="0.15">
      <c r="B5" s="32" t="s">
        <v>68</v>
      </c>
    </row>
    <row r="6" spans="2:2" ht="12.75" customHeight="1" x14ac:dyDescent="0.15">
      <c r="B6" s="51" t="s">
        <v>16</v>
      </c>
    </row>
    <row r="7" spans="2:2" ht="12.75" customHeight="1" x14ac:dyDescent="0.15">
      <c r="B7" s="32" t="s">
        <v>31</v>
      </c>
    </row>
    <row r="8" spans="2:2" ht="12.75" customHeight="1" x14ac:dyDescent="0.15"/>
    <row r="9" spans="2:2" ht="12.75" customHeight="1" x14ac:dyDescent="0.15"/>
    <row r="10" spans="2:2" ht="12.75" customHeight="1" x14ac:dyDescent="0.15">
      <c r="B10" s="32" t="s">
        <v>171</v>
      </c>
    </row>
    <row r="11" spans="2:2" ht="12.75" customHeight="1" x14ac:dyDescent="0.15">
      <c r="B11" s="32" t="s">
        <v>172</v>
      </c>
    </row>
    <row r="12" spans="2:2" ht="12.75" customHeight="1" x14ac:dyDescent="0.15">
      <c r="B12" s="32" t="s">
        <v>14</v>
      </c>
    </row>
    <row r="13" spans="2:2" ht="12.75" customHeight="1" x14ac:dyDescent="0.15">
      <c r="B13" s="32" t="s">
        <v>90</v>
      </c>
    </row>
    <row r="14" spans="2:2" ht="12.75" customHeight="1" x14ac:dyDescent="0.15"/>
    <row r="15" spans="2:2" ht="12.75" customHeight="1" x14ac:dyDescent="0.15"/>
    <row r="16" spans="2:2" ht="12.75" customHeight="1" x14ac:dyDescent="0.15">
      <c r="B16" s="32" t="s">
        <v>20</v>
      </c>
    </row>
    <row r="17" spans="2:2" ht="12.75" customHeight="1" x14ac:dyDescent="0.15">
      <c r="B17" s="32" t="s">
        <v>23</v>
      </c>
    </row>
    <row r="18" spans="2:2" ht="12.75" customHeight="1" x14ac:dyDescent="0.15">
      <c r="B18" s="32" t="s">
        <v>34</v>
      </c>
    </row>
    <row r="19" spans="2:2" ht="12.75" customHeight="1" x14ac:dyDescent="0.15">
      <c r="B19" s="32" t="s">
        <v>58</v>
      </c>
    </row>
    <row r="20" spans="2:2" ht="12.75" customHeight="1" x14ac:dyDescent="0.15">
      <c r="B20" s="32" t="s">
        <v>83</v>
      </c>
    </row>
    <row r="21" spans="2:2" ht="12.75" customHeight="1" x14ac:dyDescent="0.15">
      <c r="B21" s="32" t="s">
        <v>107</v>
      </c>
    </row>
    <row r="22" spans="2:2" ht="12.75" customHeight="1" x14ac:dyDescent="0.15">
      <c r="B22" s="32" t="s">
        <v>118</v>
      </c>
    </row>
    <row r="23" spans="2:2" ht="12.75" customHeight="1" x14ac:dyDescent="0.15">
      <c r="B23" s="32" t="s">
        <v>133</v>
      </c>
    </row>
    <row r="24" spans="2:2" ht="12.75" customHeight="1" x14ac:dyDescent="0.15">
      <c r="B24" s="32" t="s">
        <v>100</v>
      </c>
    </row>
    <row r="25" spans="2:2" ht="12.75" customHeight="1" x14ac:dyDescent="0.15">
      <c r="B25" s="32" t="s">
        <v>97</v>
      </c>
    </row>
    <row r="26" spans="2:2" ht="12.75" customHeight="1" x14ac:dyDescent="0.15">
      <c r="B26" s="32" t="s">
        <v>173</v>
      </c>
    </row>
    <row r="27" spans="2:2" ht="12.75" customHeight="1" x14ac:dyDescent="0.15">
      <c r="B27" s="32" t="s">
        <v>174</v>
      </c>
    </row>
    <row r="28" spans="2:2" ht="12.75" customHeight="1" x14ac:dyDescent="0.15"/>
    <row r="29" spans="2:2" ht="12.75" customHeight="1" x14ac:dyDescent="0.15"/>
    <row r="30" spans="2:2" ht="12.75" customHeight="1" x14ac:dyDescent="0.15"/>
    <row r="31" spans="2:2" ht="12.75" customHeight="1" x14ac:dyDescent="0.15">
      <c r="B31" s="32" t="s">
        <v>15</v>
      </c>
    </row>
    <row r="32" spans="2:2" ht="12.75" customHeight="1" x14ac:dyDescent="0.15">
      <c r="B32" s="32" t="s">
        <v>25</v>
      </c>
    </row>
    <row r="33" spans="2:2" ht="12.75" customHeight="1" x14ac:dyDescent="0.15">
      <c r="B33" s="32" t="s">
        <v>41</v>
      </c>
    </row>
    <row r="34" spans="2:2" ht="12.75" customHeight="1" x14ac:dyDescent="0.15">
      <c r="B34" s="32" t="s">
        <v>71</v>
      </c>
    </row>
    <row r="35" spans="2:2" ht="12.75" customHeight="1" x14ac:dyDescent="0.15">
      <c r="B35" s="32" t="s">
        <v>137</v>
      </c>
    </row>
    <row r="36" spans="2:2" ht="12.75" customHeight="1" x14ac:dyDescent="0.15"/>
    <row r="37" spans="2:2" ht="12.75" customHeight="1" x14ac:dyDescent="0.15"/>
    <row r="38" spans="2:2" ht="12.75" customHeight="1" x14ac:dyDescent="0.15"/>
    <row r="39" spans="2:2" ht="12.75" customHeight="1" x14ac:dyDescent="0.15"/>
    <row r="40" spans="2:2" ht="12.75" customHeight="1" x14ac:dyDescent="0.15"/>
    <row r="41" spans="2:2" ht="12.75" customHeight="1" x14ac:dyDescent="0.15"/>
    <row r="42" spans="2:2" ht="12.75" customHeight="1" x14ac:dyDescent="0.15"/>
    <row r="43" spans="2:2" ht="12.75" customHeight="1" x14ac:dyDescent="0.15"/>
    <row r="44" spans="2:2" ht="12.75" customHeight="1" x14ac:dyDescent="0.15"/>
    <row r="45" spans="2:2" ht="12.75" customHeight="1" x14ac:dyDescent="0.15"/>
    <row r="46" spans="2:2" ht="12.75" customHeight="1" x14ac:dyDescent="0.15"/>
    <row r="47" spans="2:2" ht="12.75" customHeight="1" x14ac:dyDescent="0.15"/>
    <row r="48" spans="2:2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2026</vt:lpstr>
      <vt:lpstr>THÀNH CÔNG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Travel Huynh Hieu</cp:lastModifiedBy>
  <dcterms:created xsi:type="dcterms:W3CDTF">2026-04-05T15:20:04Z</dcterms:created>
  <dcterms:modified xsi:type="dcterms:W3CDTF">2026-04-05T15:20:32Z</dcterms:modified>
</cp:coreProperties>
</file>