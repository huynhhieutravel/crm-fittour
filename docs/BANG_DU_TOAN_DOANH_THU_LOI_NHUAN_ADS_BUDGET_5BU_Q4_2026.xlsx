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ONG_HOP_COMPANY" sheetId="2" state="visible" r:id="rId2"/>
    <sheet xmlns:r="http://schemas.openxmlformats.org/officeDocument/2006/relationships" name="BU1_TrungQuoc" sheetId="3" state="visible" r:id="rId3"/>
    <sheet xmlns:r="http://schemas.openxmlformats.org/officeDocument/2006/relationships" name="BU2_NhatBan" sheetId="4" state="visible" r:id="rId4"/>
    <sheet xmlns:r="http://schemas.openxmlformats.org/officeDocument/2006/relationships" name="BU3_ChauAu_Uc" sheetId="5" state="visible" r:id="rId5"/>
    <sheet xmlns:r="http://schemas.openxmlformats.org/officeDocument/2006/relationships" name="BU4_NamA_Himalaya" sheetId="6" state="visible" r:id="rId6"/>
    <sheet xmlns:r="http://schemas.openxmlformats.org/officeDocument/2006/relationships" name="BU5_DocLa_TrungDong" sheetId="7" state="visible" r:id="rId7"/>
    <sheet xmlns:r="http://schemas.openxmlformats.org/officeDocument/2006/relationships" name="THAM_KHAO_CPL_T7_T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đ&quot;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3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64748B"/>
      <sz val="9"/>
    </font>
    <font>
      <name val="Calibri"/>
      <b val="1"/>
      <color rgb="001E3A8A"/>
      <sz val="15"/>
    </font>
    <font>
      <name val="Calibri"/>
      <b val="1"/>
      <color rgb="0015803D"/>
      <sz val="13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8F5E9"/>
        <bgColor rgb="00E8F5E9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3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7" fillId="7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3" fontId="5" fillId="6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5" fillId="6" borderId="2" pivotButton="0" quotePrefix="0" xfId="0"/>
    <xf numFmtId="16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28" customWidth="1" min="4" max="4"/>
    <col width="28" customWidth="1" min="5" max="5"/>
  </cols>
  <sheetData>
    <row r="1">
      <c r="A1" s="1" t="inlineStr">
        <is>
          <t>HỆ THỐNG DỰ TOÁN DOANH THU, LỢI NHUẬN &amp; ADS BUDGET - FIT TOUR (Q4/2026)</t>
        </is>
      </c>
    </row>
    <row r="2"/>
    <row r="4">
      <c r="A4" s="2" t="inlineStr">
        <is>
          <t>1. MỤC ĐÍCH &amp; Ý NGHĨA</t>
        </is>
      </c>
    </row>
    <row r="5">
      <c r="A5" s="3" t="inlineStr">
        <is>
          <t>• Chuẩn hóa quy trình cấp ngân sách Marketing theo mô hình Unit Economics (Lợi nhuận gộp từng đoàn).</t>
        </is>
      </c>
    </row>
    <row r="6">
      <c r="A6" s="3" t="inlineStr">
        <is>
          <t>• BUM chủ động quản trị P&amp;L, đảm bảo ngân sách quảng cáo không vượt quá biên lợi nhuận cho phép.</t>
        </is>
      </c>
    </row>
    <row r="7">
      <c r="A7" s="3" t="inlineStr">
        <is>
          <t>• Khắc phục hoàn toàn rủi ro hủy đoàn gây mất trắng tiền ads và lệch pha chu kỳ làm visa/đặt vé Outbound (30-60 ngày).</t>
        </is>
      </c>
    </row>
    <row r="9">
      <c r="A9" s="2" t="inlineStr">
        <is>
          <t>2. QUY ƯỚC MÀU SẮC TRÊN CÁC SHEET BU</t>
        </is>
      </c>
    </row>
    <row r="10">
      <c r="A10" s="4" t="inlineStr">
        <is>
          <t>Màu Ô</t>
        </is>
      </c>
      <c r="B10" s="4" t="inlineStr">
        <is>
          <t>Phân Loại</t>
        </is>
      </c>
      <c r="C10" s="4" t="inlineStr">
        <is>
          <t>Quy Định &amp; Hướng Dẫn Thao Tác Cho BUM</t>
        </is>
      </c>
    </row>
    <row r="11">
      <c r="A11" s="5" t="inlineStr">
        <is>
          <t>MÀU XANH NHẠT</t>
        </is>
      </c>
      <c r="B11" s="6" t="inlineStr">
        <is>
          <t>Ô BUM NHẬP TAY</t>
        </is>
      </c>
      <c r="C11" s="7" t="inlineStr">
        <is>
          <t>BUM điền thông tin đoàn: Tên tour, ngày bay, số khách mục tiêu, giá bán, giá vốn, tỷ lệ chốt Sale (CR%), CPL trần kỳ vọng.</t>
        </is>
      </c>
    </row>
    <row r="12">
      <c r="A12" s="8" t="inlineStr">
        <is>
          <t>MÀU VÀNG NHẠT</t>
        </is>
      </c>
      <c r="B12" s="6" t="inlineStr">
        <is>
          <t>CÔNG THỨC TỰ ĐỘNG</t>
        </is>
      </c>
      <c r="C12" s="7" t="inlineStr">
        <is>
          <t>Hệ thống tự động tính: Lãi 1 pax, Doanh thu, Lãi gộp đoàn, Số Lead cần, Budget Ads đề xuất, % Ads/Lãi và Cảnh báo an toàn. KHÔNG ĐƯỢC XÓA/SỬA.</t>
        </is>
      </c>
    </row>
    <row r="13">
      <c r="A13" s="9" t="inlineStr">
        <is>
          <t>MÀU TRẮNG XÁM</t>
        </is>
      </c>
      <c r="B13" s="6" t="inlineStr">
        <is>
          <t>DÒNG TỔNG CỘNG</t>
        </is>
      </c>
      <c r="C13" s="7" t="inlineStr">
        <is>
          <t>Tự động cộng dồn toàn bộ các đoàn trong tháng của BU để trình duyệt Ban Giám Đốc và Marketing.</t>
        </is>
      </c>
    </row>
    <row r="15">
      <c r="A15" s="2" t="inlineStr">
        <is>
          <t>3. ĐỊNH MỨC TRẦN NGÂN SÁCH ADS CHO 5 BU</t>
        </is>
      </c>
    </row>
    <row r="16">
      <c r="A16" s="4" t="inlineStr">
        <is>
          <t>BU</t>
        </is>
      </c>
      <c r="B16" s="4" t="inlineStr">
        <is>
          <t>Thị Trường &amp; Tuyến Phụ Trách</t>
        </is>
      </c>
      <c r="C16" s="4" t="inlineStr">
        <is>
          <t>Biên Lợi Nhuận Gộp (Margin)</t>
        </is>
      </c>
      <c r="D16" s="4" t="inlineStr">
        <is>
          <t>% Ads Tối Đa / Lãi Gộp (Trần)</t>
        </is>
      </c>
      <c r="E16" s="4" t="inlineStr">
        <is>
          <t>% Ads Ước Tính / Doanh Thu</t>
        </is>
      </c>
    </row>
    <row r="17">
      <c r="A17" s="10" t="inlineStr">
        <is>
          <t>BU1</t>
        </is>
      </c>
      <c r="B17" s="7" t="inlineStr">
        <is>
          <t>Tour Trung Quốc (Lệ Giang, Cửu Trại Câu, Bắc Kinh, Tân Cương...)</t>
        </is>
      </c>
      <c r="C17" s="7" t="inlineStr">
        <is>
          <t>15% - 20% (3 - 6 tr/pax)</t>
        </is>
      </c>
      <c r="D17" s="11" t="inlineStr">
        <is>
          <t>20.0% - 25.0%</t>
        </is>
      </c>
      <c r="E17" s="11" t="inlineStr">
        <is>
          <t>3.0% - 4.5%</t>
        </is>
      </c>
    </row>
    <row r="18">
      <c r="A18" s="10" t="inlineStr">
        <is>
          <t>BU2</t>
        </is>
      </c>
      <c r="B18" s="7" t="inlineStr">
        <is>
          <t>Tour Nhật Bản (Cung đường vàng, Mùa lá đỏ, Mùa tuyết...)</t>
        </is>
      </c>
      <c r="C18" s="7" t="inlineStr">
        <is>
          <t>18% - 22% (6 - 10 tr/pax)</t>
        </is>
      </c>
      <c r="D18" s="11" t="inlineStr">
        <is>
          <t>18.0% - 22.0%</t>
        </is>
      </c>
      <c r="E18" s="11" t="inlineStr">
        <is>
          <t>3.5% - 5.0%</t>
        </is>
      </c>
    </row>
    <row r="19">
      <c r="A19" s="10" t="inlineStr">
        <is>
          <t>BU3</t>
        </is>
      </c>
      <c r="B19" s="7" t="inlineStr">
        <is>
          <t>Tour Châu Âu &amp; Úc (Đông Tây Âu, Bắc Âu, Sydney...) - Thử nghiệm</t>
        </is>
      </c>
      <c r="C19" s="7" t="inlineStr">
        <is>
          <t>15% - 20% (12 - 20 tr/pax)</t>
        </is>
      </c>
      <c r="D19" s="11" t="inlineStr">
        <is>
          <t>15.0% - 20.0%</t>
        </is>
      </c>
      <c r="E19" s="11" t="inlineStr">
        <is>
          <t>2.5% - 3.5%</t>
        </is>
      </c>
    </row>
    <row r="20">
      <c r="A20" s="10" t="inlineStr">
        <is>
          <t>BU4</t>
        </is>
      </c>
      <c r="B20" s="7" t="inlineStr">
        <is>
          <t>Tour Nam Á / Himalaya (Bhutan, Ladakh, Sri Lanka...) - Tuyến sâu</t>
        </is>
      </c>
      <c r="C20" s="7" t="inlineStr">
        <is>
          <t>25% - 35% (10 - 25 tr/pax)</t>
        </is>
      </c>
      <c r="D20" s="11" t="inlineStr">
        <is>
          <t>15.0% - 20.0%</t>
        </is>
      </c>
      <c r="E20" s="11" t="inlineStr">
        <is>
          <t>4.0% - 6.0%</t>
        </is>
      </c>
    </row>
    <row r="21">
      <c r="A21" s="10" t="inlineStr">
        <is>
          <t>BU5</t>
        </is>
      </c>
      <c r="B21" s="7" t="inlineStr">
        <is>
          <t>Tour Độc Lạ (Ai Cập, Ma Rốc, Pakistan, Mông Cổ...) - Biên lãi cao</t>
        </is>
      </c>
      <c r="C21" s="7" t="inlineStr">
        <is>
          <t>25% - 35% (12 - 30 tr/pax)</t>
        </is>
      </c>
      <c r="D21" s="11" t="inlineStr">
        <is>
          <t>15.0% - 20.0%</t>
        </is>
      </c>
      <c r="E21" s="11" t="inlineStr">
        <is>
          <t>3.5% - 5.0%</t>
        </is>
      </c>
    </row>
    <row r="23">
      <c r="A23" s="2" t="inlineStr">
        <is>
          <t>4. LỊCH TRÌNH VẬN HÀNH &amp; NGUYÊN TẮC D-DAY</t>
        </is>
      </c>
    </row>
    <row r="24">
      <c r="A24" s="3" t="inlineStr">
        <is>
          <t>• Ngày 20 hàng tháng: BUM hoàn thành điền dự toán cho tháng tiếp theo vào đúng Tab của BU mình.</t>
        </is>
      </c>
    </row>
    <row r="25">
      <c r="A25" s="3" t="inlineStr">
        <is>
          <t>• Ngày 23 hàng tháng: Họp thẩm định 3 bên (BOD + Marketing + BUM) chốt hạn mức chính thức.</t>
        </is>
      </c>
    </row>
    <row r="26">
      <c r="A26" s="3" t="inlineStr">
        <is>
          <t>• Ngày 25 hàng tháng: Cấu hình KPI ngân sách lên CRM FIT Tour để theo dõi realtime theo từng tuần.</t>
        </is>
      </c>
    </row>
    <row r="27">
      <c r="A27" s="3" t="inlineStr">
        <is>
          <t>• Mốc D-30 (Trước bay 30 ngày): Kiểm tra số khách đạt điểm hòa vốn. Nếu chưa đạt, họp khẩn để bơm thêm ads hoặc ghép ngày.</t>
        </is>
      </c>
    </row>
    <row r="28">
      <c r="A28" s="3" t="inlineStr">
        <is>
          <t>• Mốc D-15 (Trước bay 15 ngày): Khóa danh sách đoàn, ngừng toàn bộ ads, hoàn ngân sách thừa về quỹ BU.</t>
        </is>
      </c>
    </row>
  </sheetData>
  <mergeCells count="1"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2" customWidth="1" min="4" max="4"/>
    <col width="16" customWidth="1" min="5" max="5"/>
    <col width="22" customWidth="1" min="6" max="6"/>
    <col width="16" customWidth="1" min="7" max="7"/>
    <col width="16" customWidth="1" min="8" max="8"/>
    <col width="15" customWidth="1" min="9" max="9"/>
    <col width="18" customWidth="1" min="10" max="10"/>
    <col width="28" customWidth="1" min="11" max="11"/>
  </cols>
  <sheetData>
    <row r="1">
      <c r="A1" s="1" t="inlineStr">
        <is>
          <t>DASHBOARD TỔNG HỢP DOANH THU, LỢI NHUẬN &amp; ADS BUDGET 5 BU (Q4/2026)</t>
        </is>
      </c>
    </row>
    <row r="2"/>
    <row r="3">
      <c r="A3" s="12" t="inlineStr">
        <is>
          <t>TỔNG DOANH THU TOÀN CÔNG TY</t>
        </is>
      </c>
      <c r="B3" s="13" t="n"/>
      <c r="C3" s="12" t="inlineStr">
        <is>
          <t>TỔNG LỢI NHUẬN GỘP DỰ KIẾN</t>
        </is>
      </c>
      <c r="D3" s="13" t="n"/>
      <c r="E3" s="12" t="inlineStr">
        <is>
          <t>TỔNG NGÂN SÁCH ADS ĐỀ XUẤT</t>
        </is>
      </c>
      <c r="F3" s="13" t="n"/>
      <c r="G3" s="13" t="n"/>
      <c r="H3" s="12" t="inlineStr">
        <is>
          <t>% ADS / LÃI GỘP TOÀN FIT TOUR</t>
        </is>
      </c>
      <c r="I3" s="13" t="n"/>
      <c r="J3" s="12" t="inlineStr">
        <is>
          <t>ĐÁNH GIÁ TÀI CHÍNH</t>
        </is>
      </c>
      <c r="K3" s="13" t="n"/>
    </row>
    <row r="4">
      <c r="A4" s="14">
        <f>SUM(C8:C12)</f>
        <v/>
      </c>
      <c r="B4" s="13" t="n"/>
      <c r="C4" s="14">
        <f>SUM(D8:D12)</f>
        <v/>
      </c>
      <c r="D4" s="13" t="n"/>
      <c r="E4" s="14">
        <f>SUM(F8:F12)</f>
        <v/>
      </c>
      <c r="F4" s="13" t="n"/>
      <c r="G4" s="13" t="n"/>
      <c r="H4" s="15">
        <f>IF(C4&gt;0, E4/C4, 0)</f>
        <v/>
      </c>
      <c r="I4" s="13" t="n"/>
      <c r="J4" s="16">
        <f>IF(H4&lt;=0.2, "✅ RẤT TỐT (&lt;20%)", IF(H4&lt;=0.25, "⚠️ AN TOÀN", "❌ VƯỢT TRẦN"))</f>
        <v/>
      </c>
      <c r="K4" s="13" t="n"/>
    </row>
    <row r="7">
      <c r="A7" s="4" t="inlineStr">
        <is>
          <t>Mã BU</t>
        </is>
      </c>
      <c r="B7" s="4" t="inlineStr">
        <is>
          <t>Tên Đơn Vị Kinh Doanh (BU) &amp; Trưởng Đơn Vị</t>
        </is>
      </c>
      <c r="C7" s="4" t="inlineStr">
        <is>
          <t>Dự Toán Doanh Thu (VND)</t>
        </is>
      </c>
      <c r="D7" s="4" t="inlineStr">
        <is>
          <t>Dự Toán Lãi Gộp (VND)</t>
        </is>
      </c>
      <c r="E7" s="4" t="inlineStr">
        <is>
          <t>Số Lead SĐT Dự Kiến</t>
        </is>
      </c>
      <c r="F7" s="4" t="inlineStr">
        <is>
          <t>Budget Ads Đề Xuất (VND)</t>
        </is>
      </c>
      <c r="G7" s="4" t="inlineStr">
        <is>
          <t>% Ads / Doanh Thu</t>
        </is>
      </c>
      <c r="H7" s="4" t="inlineStr">
        <is>
          <t>% Ads / Lãi Gộp</t>
        </is>
      </c>
      <c r="I7" s="4" t="inlineStr">
        <is>
          <t>Trần % Quy Định</t>
        </is>
      </c>
      <c r="J7" s="4" t="inlineStr">
        <is>
          <t>Đánh Giá An Toàn</t>
        </is>
      </c>
      <c r="K7" s="4" t="inlineStr">
        <is>
          <t>Ghi Chú Phê Duyệt</t>
        </is>
      </c>
    </row>
    <row r="8">
      <c r="A8" s="11" t="inlineStr">
        <is>
          <t>BU1</t>
        </is>
      </c>
      <c r="B8" s="17" t="inlineStr">
        <is>
          <t>🇨🇳 BU1: Tour Trung Quốc</t>
        </is>
      </c>
      <c r="C8" s="18">
        <f>BU1_TrungQuoc!A4</f>
        <v/>
      </c>
      <c r="D8" s="18">
        <f>BU1_TrungQuoc!D4</f>
        <v/>
      </c>
      <c r="E8" s="19">
        <f>SUM(BU1_TrungQuoc!K7:K30)</f>
        <v/>
      </c>
      <c r="F8" s="18">
        <f>BU1_TrungQuoc!G4</f>
        <v/>
      </c>
      <c r="G8" s="20">
        <f>IF(C8&gt;0, F8/C8, 0)</f>
        <v/>
      </c>
      <c r="H8" s="20">
        <f>IF(D8&gt;0, F8/D8, 0)</f>
        <v/>
      </c>
      <c r="I8" s="11" t="inlineStr">
        <is>
          <t>20% - 25%</t>
        </is>
      </c>
      <c r="J8" s="10">
        <f>IF(H8&lt;=0.22, "✅ ĐẠT YÊU CẦU", "⚠️ CẦN GIẢM BUDGET")</f>
        <v/>
      </c>
      <c r="K8" s="17" t="inlineStr">
        <is>
          <t>Đã đồng bộ công thức tự động</t>
        </is>
      </c>
    </row>
    <row r="9">
      <c r="A9" s="11" t="inlineStr">
        <is>
          <t>BU2</t>
        </is>
      </c>
      <c r="B9" s="17" t="inlineStr">
        <is>
          <t>🇯🇵 BU2: Tour Nhật Bản</t>
        </is>
      </c>
      <c r="C9" s="18">
        <f>BU2_NhatBan!A4</f>
        <v/>
      </c>
      <c r="D9" s="18">
        <f>BU2_NhatBan!D4</f>
        <v/>
      </c>
      <c r="E9" s="19">
        <f>SUM(BU2_NhatBan!K7:K30)</f>
        <v/>
      </c>
      <c r="F9" s="18">
        <f>BU2_NhatBan!G4</f>
        <v/>
      </c>
      <c r="G9" s="20">
        <f>IF(C9&gt;0, F9/C9, 0)</f>
        <v/>
      </c>
      <c r="H9" s="20">
        <f>IF(D9&gt;0, F9/D9, 0)</f>
        <v/>
      </c>
      <c r="I9" s="11" t="inlineStr">
        <is>
          <t>18% - 22%</t>
        </is>
      </c>
      <c r="J9" s="10">
        <f>IF(H9&lt;=0.22, "✅ ĐẠT YÊU CẦU", "⚠️ CẦN GIẢM BUDGET")</f>
        <v/>
      </c>
      <c r="K9" s="17" t="inlineStr">
        <is>
          <t>Đã đồng bộ công thức tự động</t>
        </is>
      </c>
    </row>
    <row r="10">
      <c r="A10" s="11" t="inlineStr">
        <is>
          <t>BU3</t>
        </is>
      </c>
      <c r="B10" s="17" t="inlineStr">
        <is>
          <t>🌏 BU3: Tour Châu Âu &amp; Úc (Thử nghiệm)</t>
        </is>
      </c>
      <c r="C10" s="18">
        <f>BU3_ChauAu_Uc!A4</f>
        <v/>
      </c>
      <c r="D10" s="18">
        <f>BU3_ChauAu_Uc!D4</f>
        <v/>
      </c>
      <c r="E10" s="19">
        <f>SUM(BU3_ChauAu_Uc!K7:K30)</f>
        <v/>
      </c>
      <c r="F10" s="18">
        <f>BU3_ChauAu_Uc!G4</f>
        <v/>
      </c>
      <c r="G10" s="20">
        <f>IF(C10&gt;0, F10/C10, 0)</f>
        <v/>
      </c>
      <c r="H10" s="20">
        <f>IF(D10&gt;0, F10/D10, 0)</f>
        <v/>
      </c>
      <c r="I10" s="11" t="inlineStr">
        <is>
          <t>15% - 20%</t>
        </is>
      </c>
      <c r="J10" s="10">
        <f>IF(H10&lt;=0.22, "✅ ĐẠT YÊU CẦU", "⚠️ CẦN GIẢM BUDGET")</f>
        <v/>
      </c>
      <c r="K10" s="17" t="inlineStr">
        <is>
          <t>Đã đồng bộ công thức tự động</t>
        </is>
      </c>
    </row>
    <row r="11">
      <c r="A11" s="11" t="inlineStr">
        <is>
          <t>BU4</t>
        </is>
      </c>
      <c r="B11" s="17" t="inlineStr">
        <is>
          <t>🇱🇰 BU4: Tour Nam Á / Himalaya (Bhutan, Ladakh)</t>
        </is>
      </c>
      <c r="C11" s="18">
        <f>BU4_NamA_Himalaya!A4</f>
        <v/>
      </c>
      <c r="D11" s="18">
        <f>BU4_NamA_Himalaya!D4</f>
        <v/>
      </c>
      <c r="E11" s="19">
        <f>SUM(BU4_NamA_Himalaya!K7:K30)</f>
        <v/>
      </c>
      <c r="F11" s="18">
        <f>BU4_NamA_Himalaya!G4</f>
        <v/>
      </c>
      <c r="G11" s="20">
        <f>IF(C11&gt;0, F11/C11, 0)</f>
        <v/>
      </c>
      <c r="H11" s="20">
        <f>IF(D11&gt;0, F11/D11, 0)</f>
        <v/>
      </c>
      <c r="I11" s="11" t="inlineStr">
        <is>
          <t>15% - 20%</t>
        </is>
      </c>
      <c r="J11" s="10">
        <f>IF(H11&lt;=0.22, "✅ ĐẠT YÊU CẦU", "⚠️ CẦN GIẢM BUDGET")</f>
        <v/>
      </c>
      <c r="K11" s="17" t="inlineStr">
        <is>
          <t>Đã đồng bộ công thức tự động</t>
        </is>
      </c>
    </row>
    <row r="12">
      <c r="A12" s="11" t="inlineStr">
        <is>
          <t>BU5</t>
        </is>
      </c>
      <c r="B12" s="17" t="inlineStr">
        <is>
          <t>🇲🇦 BU5: Tuyến Độc Lạ (Ai Cập, Ma Rốc, Pakistan)</t>
        </is>
      </c>
      <c r="C12" s="18">
        <f>BU5_DocLa_TrungDong!A4</f>
        <v/>
      </c>
      <c r="D12" s="18">
        <f>BU5_DocLa_TrungDong!D4</f>
        <v/>
      </c>
      <c r="E12" s="19">
        <f>SUM(BU5_DocLa_TrungDong!K7:K30)</f>
        <v/>
      </c>
      <c r="F12" s="18">
        <f>BU5_DocLa_TrungDong!G4</f>
        <v/>
      </c>
      <c r="G12" s="20">
        <f>IF(C12&gt;0, F12/C12, 0)</f>
        <v/>
      </c>
      <c r="H12" s="20">
        <f>IF(D12&gt;0, F12/D12, 0)</f>
        <v/>
      </c>
      <c r="I12" s="11" t="inlineStr">
        <is>
          <t>15% - 20%</t>
        </is>
      </c>
      <c r="J12" s="10">
        <f>IF(H12&lt;=0.22, "✅ ĐẠT YÊU CẦU", "⚠️ CẦN GIẢM BUDGET")</f>
        <v/>
      </c>
      <c r="K12" s="17" t="inlineStr">
        <is>
          <t>Đã đồng bộ công thức tự động</t>
        </is>
      </c>
    </row>
    <row r="13">
      <c r="A13" s="21" t="inlineStr">
        <is>
          <t>TỔNG</t>
        </is>
      </c>
      <c r="B13" s="22" t="inlineStr">
        <is>
          <t>TOÀN BỘ 5 BUSINESS UNITS</t>
        </is>
      </c>
      <c r="C13" s="23">
        <f>SUM(C8:C12)</f>
        <v/>
      </c>
      <c r="D13" s="23">
        <f>SUM(D8:D12)</f>
        <v/>
      </c>
      <c r="E13" s="24">
        <f>SUM(E8:E12)</f>
        <v/>
      </c>
      <c r="F13" s="23">
        <f>SUM(F8:F12)</f>
        <v/>
      </c>
      <c r="G13" s="25">
        <f>IF(C13&gt;0, F13/C13, 0)</f>
        <v/>
      </c>
      <c r="H13" s="25">
        <f>IF(D13&gt;0, F13/D13, 0)</f>
        <v/>
      </c>
      <c r="I13" s="21" t="inlineStr">
        <is>
          <t>≤ 22.0%</t>
        </is>
      </c>
      <c r="J13" s="21">
        <f>IF(H13&lt;=0.22, "✅ HỆ THỐNG AN TOÀN", "❌ CẢNH BÁO LỖ ADS")</f>
        <v/>
      </c>
      <c r="K13" s="22" t="inlineStr">
        <is>
          <t>BOD phê duyệt</t>
        </is>
      </c>
    </row>
  </sheetData>
  <mergeCells count="11">
    <mergeCell ref="A4:B4"/>
    <mergeCell ref="H3:I3"/>
    <mergeCell ref="J3:K3"/>
    <mergeCell ref="J4:K4"/>
    <mergeCell ref="E4:G4"/>
    <mergeCell ref="E3:G3"/>
    <mergeCell ref="H4:I4"/>
    <mergeCell ref="C3:D3"/>
    <mergeCell ref="A3:B3"/>
    <mergeCell ref="A1:K2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14" customWidth="1" min="10" max="10"/>
    <col width="14" customWidth="1" min="11" max="11"/>
    <col width="16" customWidth="1" min="12" max="12"/>
    <col width="22" customWidth="1" min="13" max="13"/>
    <col width="15" customWidth="1" min="14" max="14"/>
    <col width="16" customWidth="1" min="15" max="15"/>
    <col width="30" customWidth="1" min="16" max="16"/>
  </cols>
  <sheetData>
    <row r="1">
      <c r="A1" s="1" t="inlineStr">
        <is>
          <t>🇨🇳 BU1: DỰ TOÁN DOANH THU, LỢI NHUẬN &amp; ADS BUDGET - TOUR TRUNG QUỐC (Q4/2026)</t>
        </is>
      </c>
    </row>
    <row r="2"/>
    <row r="3">
      <c r="A3" s="12" t="inlineStr">
        <is>
          <t>DỰ TOÁN DOANH THU TOÀN BU</t>
        </is>
      </c>
      <c r="B3" s="13" t="n"/>
      <c r="C3" s="13" t="n"/>
      <c r="D3" s="12" t="inlineStr">
        <is>
          <t>TỔNG LỢI NHUẬN GỘP BU</t>
        </is>
      </c>
      <c r="E3" s="13" t="n"/>
      <c r="F3" s="13" t="n"/>
      <c r="G3" s="12" t="inlineStr">
        <is>
          <t>TỔNG NGÂN SÁCH ADS ĐỀ XUẤT</t>
        </is>
      </c>
      <c r="H3" s="13" t="n"/>
      <c r="I3" s="13" t="n"/>
      <c r="J3" s="13" t="n"/>
      <c r="K3" s="12" t="inlineStr">
        <is>
          <t>% ADS / LÃI GỘP TOÀN BU</t>
        </is>
      </c>
      <c r="L3" s="13" t="n"/>
      <c r="M3" s="13" t="n"/>
      <c r="N3" s="12" t="inlineStr">
        <is>
          <t>TRẠNG THÁI PHÊ DUYỆT BU</t>
        </is>
      </c>
      <c r="O3" s="13" t="n"/>
      <c r="P3" s="13" t="n"/>
    </row>
    <row r="4">
      <c r="A4" s="14">
        <f>SUM(H7:H30)</f>
        <v/>
      </c>
      <c r="B4" s="13" t="n"/>
      <c r="C4" s="13" t="n"/>
      <c r="D4" s="14">
        <f>SUM(I7:I30)</f>
        <v/>
      </c>
      <c r="E4" s="13" t="n"/>
      <c r="F4" s="13" t="n"/>
      <c r="G4" s="14">
        <f>SUM(M7:M30)</f>
        <v/>
      </c>
      <c r="H4" s="13" t="n"/>
      <c r="I4" s="13" t="n"/>
      <c r="J4" s="13" t="n"/>
      <c r="K4" s="15">
        <f>IF(D4&gt;0, G4/D4, 0)</f>
        <v/>
      </c>
      <c r="L4" s="13" t="n"/>
      <c r="M4" s="13" t="n"/>
      <c r="N4" s="16">
        <f>IF(K4=0, "Chưa có dữ liệu", IF(K4&lt;=0.22, "✅ ĐẠT ĐỊNH MỨC", "⚠️ CẦN TỐI ƯU LẠI"))</f>
        <v/>
      </c>
      <c r="O4" s="13" t="n"/>
      <c r="P4" s="13" t="n"/>
    </row>
    <row r="6" ht="32" customHeight="1">
      <c r="A6" s="4" t="inlineStr">
        <is>
          <t>Tên Tuyến Tour / Sản Phẩm</t>
        </is>
      </c>
      <c r="B6" s="4" t="inlineStr">
        <is>
          <t>Ngày Khởi Hành</t>
        </is>
      </c>
      <c r="C6" s="4" t="inlineStr">
        <is>
          <t>Số Khách Mục Tiêu (Pax)</t>
        </is>
      </c>
      <c r="D6" s="4" t="inlineStr">
        <is>
          <t>Số Khách Hòa Vốn</t>
        </is>
      </c>
      <c r="E6" s="4" t="inlineStr">
        <is>
          <t>Giá Bán / Khách (VND)</t>
        </is>
      </c>
      <c r="F6" s="4" t="inlineStr">
        <is>
          <t>Giá Vốn / Khách (VND)</t>
        </is>
      </c>
      <c r="G6" s="4" t="inlineStr">
        <is>
          <t>Lãi Gộp / Khách (VND)</t>
        </is>
      </c>
      <c r="H6" s="4" t="inlineStr">
        <is>
          <t>DỰ TOÁN DOANH THU (VND)</t>
        </is>
      </c>
      <c r="I6" s="4" t="inlineStr">
        <is>
          <t>DỰ TOÁN LÃI GỘP (VND)</t>
        </is>
      </c>
      <c r="J6" s="4" t="inlineStr">
        <is>
          <t>Tỷ Lệ Chốt Sale (CR%)</t>
        </is>
      </c>
      <c r="K6" s="4" t="inlineStr">
        <is>
          <t>Số Lead SĐT Cần Có</t>
        </is>
      </c>
      <c r="L6" s="4" t="inlineStr">
        <is>
          <t>Giá Lead Trần CPL (VND)</t>
        </is>
      </c>
      <c r="M6" s="4" t="inlineStr">
        <is>
          <t>DỰ TOÁN BUDGET ADS (VND)</t>
        </is>
      </c>
      <c r="N6" s="4" t="inlineStr">
        <is>
          <t>% Ads / Lãi Gộp</t>
        </is>
      </c>
      <c r="O6" s="4" t="inlineStr">
        <is>
          <t>CẢNH BÁO AN TOÀN</t>
        </is>
      </c>
      <c r="P6" s="4" t="inlineStr">
        <is>
          <t>Ghi Chú / Đề Xuất BUM</t>
        </is>
      </c>
    </row>
    <row r="7">
      <c r="A7" s="26" t="inlineStr">
        <is>
          <t>Cửu Trại Câu Mùa Thu</t>
        </is>
      </c>
      <c r="B7" s="27" t="inlineStr">
        <is>
          <t>15/10/2026</t>
        </is>
      </c>
      <c r="C7" s="27" t="n">
        <v>20</v>
      </c>
      <c r="D7" s="27" t="n">
        <v>14</v>
      </c>
      <c r="E7" s="28" t="n">
        <v>25900000</v>
      </c>
      <c r="F7" s="28" t="n">
        <v>20900000</v>
      </c>
      <c r="G7" s="29">
        <f>E7-F7</f>
        <v/>
      </c>
      <c r="H7" s="29">
        <f>C7*E7</f>
        <v/>
      </c>
      <c r="I7" s="29">
        <f>C7*G7</f>
        <v/>
      </c>
      <c r="J7" s="30" t="n">
        <v>0.1</v>
      </c>
      <c r="K7" s="31">
        <f>IF(J7&gt;0, ROUNDUP(C7/J7, 0), 0)</f>
        <v/>
      </c>
      <c r="L7" s="28" t="n">
        <v>140000</v>
      </c>
      <c r="M7" s="29">
        <f>K7*L7</f>
        <v/>
      </c>
      <c r="N7" s="32">
        <f>IF(I7&gt;0, M7/I7, 0)</f>
        <v/>
      </c>
      <c r="O7" s="8">
        <f>IF(N7=0, "", IF(N7&lt;=0.2, "✅ An toàn", IF(N7&lt;=0.25, "⚠️ Cận trần", "❌ VƯỢT TRẦN")))</f>
        <v/>
      </c>
      <c r="P7" s="26" t="inlineStr">
        <is>
          <t>Tuyến HOT nhất T10, ưu tiên chạy sớm trước 40 ngày</t>
        </is>
      </c>
    </row>
    <row r="8">
      <c r="A8" s="26" t="inlineStr">
        <is>
          <t>Lệ Giang - Sa Khê Cổ Trấn</t>
        </is>
      </c>
      <c r="B8" s="27" t="inlineStr">
        <is>
          <t>22/10/2026</t>
        </is>
      </c>
      <c r="C8" s="27" t="n">
        <v>22</v>
      </c>
      <c r="D8" s="27" t="n">
        <v>15</v>
      </c>
      <c r="E8" s="28" t="n">
        <v>22900000</v>
      </c>
      <c r="F8" s="28" t="n">
        <v>18500000</v>
      </c>
      <c r="G8" s="29">
        <f>E8-F8</f>
        <v/>
      </c>
      <c r="H8" s="29">
        <f>C8*E8</f>
        <v/>
      </c>
      <c r="I8" s="29">
        <f>C8*G8</f>
        <v/>
      </c>
      <c r="J8" s="30" t="n">
        <v>0.09</v>
      </c>
      <c r="K8" s="31">
        <f>IF(J8&gt;0, ROUNDUP(C8/J8, 0), 0)</f>
        <v/>
      </c>
      <c r="L8" s="28" t="n">
        <v>150000</v>
      </c>
      <c r="M8" s="29">
        <f>K8*L8</f>
        <v/>
      </c>
      <c r="N8" s="32">
        <f>IF(I8&gt;0, M8/I8, 0)</f>
        <v/>
      </c>
      <c r="O8" s="8">
        <f>IF(N8=0, "", IF(N8&lt;=0.2, "✅ An toàn", IF(N8&lt;=0.25, "⚠️ Cận trần", "❌ VƯỢT TRẦN")))</f>
        <v/>
      </c>
      <c r="P8" s="26" t="inlineStr">
        <is>
          <t>Tuyến đều đặn, chạy song song video + ảnh</t>
        </is>
      </c>
    </row>
    <row r="9">
      <c r="A9" s="26" t="inlineStr">
        <is>
          <t>Bắc Kinh - Thượng Hải Thu Vàng</t>
        </is>
      </c>
      <c r="B9" s="27" t="inlineStr">
        <is>
          <t>10/11/2026</t>
        </is>
      </c>
      <c r="C9" s="27" t="n">
        <v>18</v>
      </c>
      <c r="D9" s="27" t="n">
        <v>12</v>
      </c>
      <c r="E9" s="28" t="n">
        <v>32500000</v>
      </c>
      <c r="F9" s="28" t="n">
        <v>26000000</v>
      </c>
      <c r="G9" s="29">
        <f>E9-F9</f>
        <v/>
      </c>
      <c r="H9" s="29">
        <f>C9*E9</f>
        <v/>
      </c>
      <c r="I9" s="29">
        <f>C9*G9</f>
        <v/>
      </c>
      <c r="J9" s="30" t="n">
        <v>0.08</v>
      </c>
      <c r="K9" s="31">
        <f>IF(J9&gt;0, ROUNDUP(C9/J9, 0), 0)</f>
        <v/>
      </c>
      <c r="L9" s="28" t="n">
        <v>170000</v>
      </c>
      <c r="M9" s="29">
        <f>K9*L9</f>
        <v/>
      </c>
      <c r="N9" s="32">
        <f>IF(I9&gt;0, M9/I9, 0)</f>
        <v/>
      </c>
      <c r="O9" s="8">
        <f>IF(N9=0, "", IF(N9&lt;=0.2, "✅ An toàn", IF(N9&lt;=0.25, "⚠️ Cận trần", "❌ VƯỢT TRẦN")))</f>
        <v/>
      </c>
      <c r="P9" s="26" t="inlineStr">
        <is>
          <t>Khách trung niên, tỷ lệ để lại SĐT cao</t>
        </is>
      </c>
    </row>
    <row r="10">
      <c r="A10" s="26" t="inlineStr">
        <is>
          <t>Thanh Tạng Chuyến Tàu Huyền Thoại</t>
        </is>
      </c>
      <c r="B10" s="27" t="inlineStr">
        <is>
          <t>18/11/2026</t>
        </is>
      </c>
      <c r="C10" s="27" t="n">
        <v>16</v>
      </c>
      <c r="D10" s="27" t="n">
        <v>11</v>
      </c>
      <c r="E10" s="28" t="n">
        <v>45000000</v>
      </c>
      <c r="F10" s="28" t="n">
        <v>36500000</v>
      </c>
      <c r="G10" s="29">
        <f>E10-F10</f>
        <v/>
      </c>
      <c r="H10" s="29">
        <f>C10*E10</f>
        <v/>
      </c>
      <c r="I10" s="29">
        <f>C10*G10</f>
        <v/>
      </c>
      <c r="J10" s="30" t="n">
        <v>0.07000000000000001</v>
      </c>
      <c r="K10" s="31">
        <f>IF(J10&gt;0, ROUNDUP(C10/J10, 0), 0)</f>
        <v/>
      </c>
      <c r="L10" s="28" t="n">
        <v>190000</v>
      </c>
      <c r="M10" s="29">
        <f>K10*L10</f>
        <v/>
      </c>
      <c r="N10" s="32">
        <f>IF(I10&gt;0, M10/I10, 0)</f>
        <v/>
      </c>
      <c r="O10" s="8">
        <f>IF(N10=0, "", IF(N10&lt;=0.2, "✅ An toàn", IF(N10&lt;=0.25, "⚠️ Cận trần", "❌ VƯỢT TRẦN")))</f>
        <v/>
      </c>
      <c r="P10" s="26" t="inlineStr">
        <is>
          <t>Tuyến dài ngày kén khách</t>
        </is>
      </c>
    </row>
    <row r="11">
      <c r="A11" s="33" t="inlineStr"/>
      <c r="B11" s="33" t="inlineStr"/>
      <c r="C11" s="33" t="inlineStr"/>
      <c r="D11" s="33" t="inlineStr"/>
      <c r="E11" s="34" t="inlineStr"/>
      <c r="F11" s="34" t="inlineStr"/>
      <c r="G11" s="29">
        <f>IF(E11&gt;0, E11-F11, 0)</f>
        <v/>
      </c>
      <c r="H11" s="29">
        <f>IF(C11&gt;0, C11*E11, 0)</f>
        <v/>
      </c>
      <c r="I11" s="29">
        <f>IF(C11&gt;0, C11*G11, 0)</f>
        <v/>
      </c>
      <c r="J11" s="35" t="inlineStr"/>
      <c r="K11" s="31">
        <f>IF(AND(C11&gt;0, J11&gt;0), ROUNDUP(C11/J11, 0), 0)</f>
        <v/>
      </c>
      <c r="L11" s="34" t="inlineStr"/>
      <c r="M11" s="29">
        <f>IF(K11&gt;0, K11*L11, 0)</f>
        <v/>
      </c>
      <c r="N11" s="32">
        <f>IF(I11&gt;0, M11/I11, 0)</f>
        <v/>
      </c>
      <c r="O11" s="8">
        <f>IF(M11=0, "", IF(N11&lt;=0.2, "✅ An toàn", IF(N11&lt;=0.25, "⚠️ Cận trần", "❌ VƯỢT TRẦN")))</f>
        <v/>
      </c>
      <c r="P11" s="33" t="inlineStr"/>
    </row>
    <row r="12">
      <c r="A12" s="33" t="inlineStr"/>
      <c r="B12" s="33" t="inlineStr"/>
      <c r="C12" s="33" t="inlineStr"/>
      <c r="D12" s="33" t="inlineStr"/>
      <c r="E12" s="34" t="inlineStr"/>
      <c r="F12" s="34" t="inlineStr"/>
      <c r="G12" s="29">
        <f>IF(E12&gt;0, E12-F12, 0)</f>
        <v/>
      </c>
      <c r="H12" s="29">
        <f>IF(C12&gt;0, C12*E12, 0)</f>
        <v/>
      </c>
      <c r="I12" s="29">
        <f>IF(C12&gt;0, C12*G12, 0)</f>
        <v/>
      </c>
      <c r="J12" s="35" t="inlineStr"/>
      <c r="K12" s="31">
        <f>IF(AND(C12&gt;0, J12&gt;0), ROUNDUP(C12/J12, 0), 0)</f>
        <v/>
      </c>
      <c r="L12" s="34" t="inlineStr"/>
      <c r="M12" s="29">
        <f>IF(K12&gt;0, K12*L12, 0)</f>
        <v/>
      </c>
      <c r="N12" s="32">
        <f>IF(I12&gt;0, M12/I12, 0)</f>
        <v/>
      </c>
      <c r="O12" s="8">
        <f>IF(M12=0, "", IF(N12&lt;=0.2, "✅ An toàn", IF(N12&lt;=0.25, "⚠️ Cận trần", "❌ VƯỢT TRẦN")))</f>
        <v/>
      </c>
      <c r="P12" s="33" t="inlineStr"/>
    </row>
    <row r="13">
      <c r="A13" s="33" t="inlineStr"/>
      <c r="B13" s="33" t="inlineStr"/>
      <c r="C13" s="33" t="inlineStr"/>
      <c r="D13" s="33" t="inlineStr"/>
      <c r="E13" s="34" t="inlineStr"/>
      <c r="F13" s="34" t="inlineStr"/>
      <c r="G13" s="29">
        <f>IF(E13&gt;0, E13-F13, 0)</f>
        <v/>
      </c>
      <c r="H13" s="29">
        <f>IF(C13&gt;0, C13*E13, 0)</f>
        <v/>
      </c>
      <c r="I13" s="29">
        <f>IF(C13&gt;0, C13*G13, 0)</f>
        <v/>
      </c>
      <c r="J13" s="35" t="inlineStr"/>
      <c r="K13" s="31">
        <f>IF(AND(C13&gt;0, J13&gt;0), ROUNDUP(C13/J13, 0), 0)</f>
        <v/>
      </c>
      <c r="L13" s="34" t="inlineStr"/>
      <c r="M13" s="29">
        <f>IF(K13&gt;0, K13*L13, 0)</f>
        <v/>
      </c>
      <c r="N13" s="32">
        <f>IF(I13&gt;0, M13/I13, 0)</f>
        <v/>
      </c>
      <c r="O13" s="8">
        <f>IF(M13=0, "", IF(N13&lt;=0.2, "✅ An toàn", IF(N13&lt;=0.25, "⚠️ Cận trần", "❌ VƯỢT TRẦN")))</f>
        <v/>
      </c>
      <c r="P13" s="33" t="inlineStr"/>
    </row>
    <row r="14">
      <c r="A14" s="33" t="inlineStr"/>
      <c r="B14" s="33" t="inlineStr"/>
      <c r="C14" s="33" t="inlineStr"/>
      <c r="D14" s="33" t="inlineStr"/>
      <c r="E14" s="34" t="inlineStr"/>
      <c r="F14" s="34" t="inlineStr"/>
      <c r="G14" s="29">
        <f>IF(E14&gt;0, E14-F14, 0)</f>
        <v/>
      </c>
      <c r="H14" s="29">
        <f>IF(C14&gt;0, C14*E14, 0)</f>
        <v/>
      </c>
      <c r="I14" s="29">
        <f>IF(C14&gt;0, C14*G14, 0)</f>
        <v/>
      </c>
      <c r="J14" s="35" t="inlineStr"/>
      <c r="K14" s="31">
        <f>IF(AND(C14&gt;0, J14&gt;0), ROUNDUP(C14/J14, 0), 0)</f>
        <v/>
      </c>
      <c r="L14" s="34" t="inlineStr"/>
      <c r="M14" s="29">
        <f>IF(K14&gt;0, K14*L14, 0)</f>
        <v/>
      </c>
      <c r="N14" s="32">
        <f>IF(I14&gt;0, M14/I14, 0)</f>
        <v/>
      </c>
      <c r="O14" s="8">
        <f>IF(M14=0, "", IF(N14&lt;=0.2, "✅ An toàn", IF(N14&lt;=0.25, "⚠️ Cận trần", "❌ VƯỢT TRẦN")))</f>
        <v/>
      </c>
      <c r="P14" s="33" t="inlineStr"/>
    </row>
    <row r="15">
      <c r="A15" s="33" t="inlineStr"/>
      <c r="B15" s="33" t="inlineStr"/>
      <c r="C15" s="33" t="inlineStr"/>
      <c r="D15" s="33" t="inlineStr"/>
      <c r="E15" s="34" t="inlineStr"/>
      <c r="F15" s="34" t="inlineStr"/>
      <c r="G15" s="29">
        <f>IF(E15&gt;0, E15-F15, 0)</f>
        <v/>
      </c>
      <c r="H15" s="29">
        <f>IF(C15&gt;0, C15*E15, 0)</f>
        <v/>
      </c>
      <c r="I15" s="29">
        <f>IF(C15&gt;0, C15*G15, 0)</f>
        <v/>
      </c>
      <c r="J15" s="35" t="inlineStr"/>
      <c r="K15" s="31">
        <f>IF(AND(C15&gt;0, J15&gt;0), ROUNDUP(C15/J15, 0), 0)</f>
        <v/>
      </c>
      <c r="L15" s="34" t="inlineStr"/>
      <c r="M15" s="29">
        <f>IF(K15&gt;0, K15*L15, 0)</f>
        <v/>
      </c>
      <c r="N15" s="32">
        <f>IF(I15&gt;0, M15/I15, 0)</f>
        <v/>
      </c>
      <c r="O15" s="8">
        <f>IF(M15=0, "", IF(N15&lt;=0.2, "✅ An toàn", IF(N15&lt;=0.25, "⚠️ Cận trần", "❌ VƯỢT TRẦN")))</f>
        <v/>
      </c>
      <c r="P15" s="33" t="inlineStr"/>
    </row>
    <row r="16">
      <c r="A16" s="33" t="inlineStr"/>
      <c r="B16" s="33" t="inlineStr"/>
      <c r="C16" s="33" t="inlineStr"/>
      <c r="D16" s="33" t="inlineStr"/>
      <c r="E16" s="34" t="inlineStr"/>
      <c r="F16" s="34" t="inlineStr"/>
      <c r="G16" s="29">
        <f>IF(E16&gt;0, E16-F16, 0)</f>
        <v/>
      </c>
      <c r="H16" s="29">
        <f>IF(C16&gt;0, C16*E16, 0)</f>
        <v/>
      </c>
      <c r="I16" s="29">
        <f>IF(C16&gt;0, C16*G16, 0)</f>
        <v/>
      </c>
      <c r="J16" s="35" t="inlineStr"/>
      <c r="K16" s="31">
        <f>IF(AND(C16&gt;0, J16&gt;0), ROUNDUP(C16/J16, 0), 0)</f>
        <v/>
      </c>
      <c r="L16" s="34" t="inlineStr"/>
      <c r="M16" s="29">
        <f>IF(K16&gt;0, K16*L16, 0)</f>
        <v/>
      </c>
      <c r="N16" s="32">
        <f>IF(I16&gt;0, M16/I16, 0)</f>
        <v/>
      </c>
      <c r="O16" s="8">
        <f>IF(M16=0, "", IF(N16&lt;=0.2, "✅ An toàn", IF(N16&lt;=0.25, "⚠️ Cận trần", "❌ VƯỢT TRẦN")))</f>
        <v/>
      </c>
      <c r="P16" s="33" t="inlineStr"/>
    </row>
    <row r="17">
      <c r="A17" s="33" t="inlineStr"/>
      <c r="B17" s="33" t="inlineStr"/>
      <c r="C17" s="33" t="inlineStr"/>
      <c r="D17" s="33" t="inlineStr"/>
      <c r="E17" s="34" t="inlineStr"/>
      <c r="F17" s="34" t="inlineStr"/>
      <c r="G17" s="29">
        <f>IF(E17&gt;0, E17-F17, 0)</f>
        <v/>
      </c>
      <c r="H17" s="29">
        <f>IF(C17&gt;0, C17*E17, 0)</f>
        <v/>
      </c>
      <c r="I17" s="29">
        <f>IF(C17&gt;0, C17*G17, 0)</f>
        <v/>
      </c>
      <c r="J17" s="35" t="inlineStr"/>
      <c r="K17" s="31">
        <f>IF(AND(C17&gt;0, J17&gt;0), ROUNDUP(C17/J17, 0), 0)</f>
        <v/>
      </c>
      <c r="L17" s="34" t="inlineStr"/>
      <c r="M17" s="29">
        <f>IF(K17&gt;0, K17*L17, 0)</f>
        <v/>
      </c>
      <c r="N17" s="32">
        <f>IF(I17&gt;0, M17/I17, 0)</f>
        <v/>
      </c>
      <c r="O17" s="8">
        <f>IF(M17=0, "", IF(N17&lt;=0.2, "✅ An toàn", IF(N17&lt;=0.25, "⚠️ Cận trần", "❌ VƯỢT TRẦN")))</f>
        <v/>
      </c>
      <c r="P17" s="33" t="inlineStr"/>
    </row>
    <row r="18">
      <c r="A18" s="33" t="inlineStr"/>
      <c r="B18" s="33" t="inlineStr"/>
      <c r="C18" s="33" t="inlineStr"/>
      <c r="D18" s="33" t="inlineStr"/>
      <c r="E18" s="34" t="inlineStr"/>
      <c r="F18" s="34" t="inlineStr"/>
      <c r="G18" s="29">
        <f>IF(E18&gt;0, E18-F18, 0)</f>
        <v/>
      </c>
      <c r="H18" s="29">
        <f>IF(C18&gt;0, C18*E18, 0)</f>
        <v/>
      </c>
      <c r="I18" s="29">
        <f>IF(C18&gt;0, C18*G18, 0)</f>
        <v/>
      </c>
      <c r="J18" s="35" t="inlineStr"/>
      <c r="K18" s="31">
        <f>IF(AND(C18&gt;0, J18&gt;0), ROUNDUP(C18/J18, 0), 0)</f>
        <v/>
      </c>
      <c r="L18" s="34" t="inlineStr"/>
      <c r="M18" s="29">
        <f>IF(K18&gt;0, K18*L18, 0)</f>
        <v/>
      </c>
      <c r="N18" s="32">
        <f>IF(I18&gt;0, M18/I18, 0)</f>
        <v/>
      </c>
      <c r="O18" s="8">
        <f>IF(M18=0, "", IF(N18&lt;=0.2, "✅ An toàn", IF(N18&lt;=0.25, "⚠️ Cận trần", "❌ VƯỢT TRẦN")))</f>
        <v/>
      </c>
      <c r="P18" s="33" t="inlineStr"/>
    </row>
    <row r="19">
      <c r="A19" s="33" t="inlineStr"/>
      <c r="B19" s="33" t="inlineStr"/>
      <c r="C19" s="33" t="inlineStr"/>
      <c r="D19" s="33" t="inlineStr"/>
      <c r="E19" s="34" t="inlineStr"/>
      <c r="F19" s="34" t="inlineStr"/>
      <c r="G19" s="29">
        <f>IF(E19&gt;0, E19-F19, 0)</f>
        <v/>
      </c>
      <c r="H19" s="29">
        <f>IF(C19&gt;0, C19*E19, 0)</f>
        <v/>
      </c>
      <c r="I19" s="29">
        <f>IF(C19&gt;0, C19*G19, 0)</f>
        <v/>
      </c>
      <c r="J19" s="35" t="inlineStr"/>
      <c r="K19" s="31">
        <f>IF(AND(C19&gt;0, J19&gt;0), ROUNDUP(C19/J19, 0), 0)</f>
        <v/>
      </c>
      <c r="L19" s="34" t="inlineStr"/>
      <c r="M19" s="29">
        <f>IF(K19&gt;0, K19*L19, 0)</f>
        <v/>
      </c>
      <c r="N19" s="32">
        <f>IF(I19&gt;0, M19/I19, 0)</f>
        <v/>
      </c>
      <c r="O19" s="8">
        <f>IF(M19=0, "", IF(N19&lt;=0.2, "✅ An toàn", IF(N19&lt;=0.25, "⚠️ Cận trần", "❌ VƯỢT TRẦN")))</f>
        <v/>
      </c>
      <c r="P19" s="33" t="inlineStr"/>
    </row>
    <row r="20">
      <c r="A20" s="33" t="inlineStr"/>
      <c r="B20" s="33" t="inlineStr"/>
      <c r="C20" s="33" t="inlineStr"/>
      <c r="D20" s="33" t="inlineStr"/>
      <c r="E20" s="34" t="inlineStr"/>
      <c r="F20" s="34" t="inlineStr"/>
      <c r="G20" s="29">
        <f>IF(E20&gt;0, E20-F20, 0)</f>
        <v/>
      </c>
      <c r="H20" s="29">
        <f>IF(C20&gt;0, C20*E20, 0)</f>
        <v/>
      </c>
      <c r="I20" s="29">
        <f>IF(C20&gt;0, C20*G20, 0)</f>
        <v/>
      </c>
      <c r="J20" s="35" t="inlineStr"/>
      <c r="K20" s="31">
        <f>IF(AND(C20&gt;0, J20&gt;0), ROUNDUP(C20/J20, 0), 0)</f>
        <v/>
      </c>
      <c r="L20" s="34" t="inlineStr"/>
      <c r="M20" s="29">
        <f>IF(K20&gt;0, K20*L20, 0)</f>
        <v/>
      </c>
      <c r="N20" s="32">
        <f>IF(I20&gt;0, M20/I20, 0)</f>
        <v/>
      </c>
      <c r="O20" s="8">
        <f>IF(M20=0, "", IF(N20&lt;=0.2, "✅ An toàn", IF(N20&lt;=0.25, "⚠️ Cận trần", "❌ VƯỢT TRẦN")))</f>
        <v/>
      </c>
      <c r="P20" s="33" t="inlineStr"/>
    </row>
    <row r="21">
      <c r="A21" s="33" t="inlineStr"/>
      <c r="B21" s="33" t="inlineStr"/>
      <c r="C21" s="33" t="inlineStr"/>
      <c r="D21" s="33" t="inlineStr"/>
      <c r="E21" s="34" t="inlineStr"/>
      <c r="F21" s="34" t="inlineStr"/>
      <c r="G21" s="29">
        <f>IF(E21&gt;0, E21-F21, 0)</f>
        <v/>
      </c>
      <c r="H21" s="29">
        <f>IF(C21&gt;0, C21*E21, 0)</f>
        <v/>
      </c>
      <c r="I21" s="29">
        <f>IF(C21&gt;0, C21*G21, 0)</f>
        <v/>
      </c>
      <c r="J21" s="35" t="inlineStr"/>
      <c r="K21" s="31">
        <f>IF(AND(C21&gt;0, J21&gt;0), ROUNDUP(C21/J21, 0), 0)</f>
        <v/>
      </c>
      <c r="L21" s="34" t="inlineStr"/>
      <c r="M21" s="29">
        <f>IF(K21&gt;0, K21*L21, 0)</f>
        <v/>
      </c>
      <c r="N21" s="32">
        <f>IF(I21&gt;0, M21/I21, 0)</f>
        <v/>
      </c>
      <c r="O21" s="8">
        <f>IF(M21=0, "", IF(N21&lt;=0.2, "✅ An toàn", IF(N21&lt;=0.25, "⚠️ Cận trần", "❌ VƯỢT TRẦN")))</f>
        <v/>
      </c>
      <c r="P21" s="33" t="inlineStr"/>
    </row>
    <row r="22">
      <c r="A22" s="33" t="inlineStr"/>
      <c r="B22" s="33" t="inlineStr"/>
      <c r="C22" s="33" t="inlineStr"/>
      <c r="D22" s="33" t="inlineStr"/>
      <c r="E22" s="34" t="inlineStr"/>
      <c r="F22" s="34" t="inlineStr"/>
      <c r="G22" s="29">
        <f>IF(E22&gt;0, E22-F22, 0)</f>
        <v/>
      </c>
      <c r="H22" s="29">
        <f>IF(C22&gt;0, C22*E22, 0)</f>
        <v/>
      </c>
      <c r="I22" s="29">
        <f>IF(C22&gt;0, C22*G22, 0)</f>
        <v/>
      </c>
      <c r="J22" s="35" t="inlineStr"/>
      <c r="K22" s="31">
        <f>IF(AND(C22&gt;0, J22&gt;0), ROUNDUP(C22/J22, 0), 0)</f>
        <v/>
      </c>
      <c r="L22" s="34" t="inlineStr"/>
      <c r="M22" s="29">
        <f>IF(K22&gt;0, K22*L22, 0)</f>
        <v/>
      </c>
      <c r="N22" s="32">
        <f>IF(I22&gt;0, M22/I22, 0)</f>
        <v/>
      </c>
      <c r="O22" s="8">
        <f>IF(M22=0, "", IF(N22&lt;=0.2, "✅ An toàn", IF(N22&lt;=0.25, "⚠️ Cận trần", "❌ VƯỢT TRẦN")))</f>
        <v/>
      </c>
      <c r="P22" s="33" t="inlineStr"/>
    </row>
    <row r="23">
      <c r="A23" s="33" t="inlineStr"/>
      <c r="B23" s="33" t="inlineStr"/>
      <c r="C23" s="33" t="inlineStr"/>
      <c r="D23" s="33" t="inlineStr"/>
      <c r="E23" s="34" t="inlineStr"/>
      <c r="F23" s="34" t="inlineStr"/>
      <c r="G23" s="29">
        <f>IF(E23&gt;0, E23-F23, 0)</f>
        <v/>
      </c>
      <c r="H23" s="29">
        <f>IF(C23&gt;0, C23*E23, 0)</f>
        <v/>
      </c>
      <c r="I23" s="29">
        <f>IF(C23&gt;0, C23*G23, 0)</f>
        <v/>
      </c>
      <c r="J23" s="35" t="inlineStr"/>
      <c r="K23" s="31">
        <f>IF(AND(C23&gt;0, J23&gt;0), ROUNDUP(C23/J23, 0), 0)</f>
        <v/>
      </c>
      <c r="L23" s="34" t="inlineStr"/>
      <c r="M23" s="29">
        <f>IF(K23&gt;0, K23*L23, 0)</f>
        <v/>
      </c>
      <c r="N23" s="32">
        <f>IF(I23&gt;0, M23/I23, 0)</f>
        <v/>
      </c>
      <c r="O23" s="8">
        <f>IF(M23=0, "", IF(N23&lt;=0.2, "✅ An toàn", IF(N23&lt;=0.25, "⚠️ Cận trần", "❌ VƯỢT TRẦN")))</f>
        <v/>
      </c>
      <c r="P23" s="33" t="inlineStr"/>
    </row>
    <row r="24">
      <c r="A24" s="33" t="inlineStr"/>
      <c r="B24" s="33" t="inlineStr"/>
      <c r="C24" s="33" t="inlineStr"/>
      <c r="D24" s="33" t="inlineStr"/>
      <c r="E24" s="34" t="inlineStr"/>
      <c r="F24" s="34" t="inlineStr"/>
      <c r="G24" s="29">
        <f>IF(E24&gt;0, E24-F24, 0)</f>
        <v/>
      </c>
      <c r="H24" s="29">
        <f>IF(C24&gt;0, C24*E24, 0)</f>
        <v/>
      </c>
      <c r="I24" s="29">
        <f>IF(C24&gt;0, C24*G24, 0)</f>
        <v/>
      </c>
      <c r="J24" s="35" t="inlineStr"/>
      <c r="K24" s="31">
        <f>IF(AND(C24&gt;0, J24&gt;0), ROUNDUP(C24/J24, 0), 0)</f>
        <v/>
      </c>
      <c r="L24" s="34" t="inlineStr"/>
      <c r="M24" s="29">
        <f>IF(K24&gt;0, K24*L24, 0)</f>
        <v/>
      </c>
      <c r="N24" s="32">
        <f>IF(I24&gt;0, M24/I24, 0)</f>
        <v/>
      </c>
      <c r="O24" s="8">
        <f>IF(M24=0, "", IF(N24&lt;=0.2, "✅ An toàn", IF(N24&lt;=0.25, "⚠️ Cận trần", "❌ VƯỢT TRẦN")))</f>
        <v/>
      </c>
      <c r="P24" s="33" t="inlineStr"/>
    </row>
    <row r="25">
      <c r="A25" s="33" t="inlineStr"/>
      <c r="B25" s="33" t="inlineStr"/>
      <c r="C25" s="33" t="inlineStr"/>
      <c r="D25" s="33" t="inlineStr"/>
      <c r="E25" s="34" t="inlineStr"/>
      <c r="F25" s="34" t="inlineStr"/>
      <c r="G25" s="29">
        <f>IF(E25&gt;0, E25-F25, 0)</f>
        <v/>
      </c>
      <c r="H25" s="29">
        <f>IF(C25&gt;0, C25*E25, 0)</f>
        <v/>
      </c>
      <c r="I25" s="29">
        <f>IF(C25&gt;0, C25*G25, 0)</f>
        <v/>
      </c>
      <c r="J25" s="35" t="inlineStr"/>
      <c r="K25" s="31">
        <f>IF(AND(C25&gt;0, J25&gt;0), ROUNDUP(C25/J25, 0), 0)</f>
        <v/>
      </c>
      <c r="L25" s="34" t="inlineStr"/>
      <c r="M25" s="29">
        <f>IF(K25&gt;0, K25*L25, 0)</f>
        <v/>
      </c>
      <c r="N25" s="32">
        <f>IF(I25&gt;0, M25/I25, 0)</f>
        <v/>
      </c>
      <c r="O25" s="8">
        <f>IF(M25=0, "", IF(N25&lt;=0.2, "✅ An toàn", IF(N25&lt;=0.25, "⚠️ Cận trần", "❌ VƯỢT TRẦN")))</f>
        <v/>
      </c>
      <c r="P25" s="33" t="inlineStr"/>
    </row>
    <row r="26">
      <c r="A26" s="22" t="inlineStr">
        <is>
          <t>TỔNG CỘNG TOÀN BU</t>
        </is>
      </c>
      <c r="B26" s="36" t="n"/>
      <c r="C26" s="21">
        <f>SUM(C7:C25)</f>
        <v/>
      </c>
      <c r="D26" s="36" t="n"/>
      <c r="E26" s="36" t="n"/>
      <c r="F26" s="36" t="n"/>
      <c r="G26" s="36" t="n"/>
      <c r="H26" s="23">
        <f>SUM(H7:H25)</f>
        <v/>
      </c>
      <c r="I26" s="23">
        <f>SUM(I7:I25)</f>
        <v/>
      </c>
      <c r="J26" s="36" t="n"/>
      <c r="K26" s="24">
        <f>SUM(K7:K25)</f>
        <v/>
      </c>
      <c r="L26" s="36" t="n"/>
      <c r="M26" s="23">
        <f>SUM(M7:M25)</f>
        <v/>
      </c>
      <c r="N26" s="25">
        <f>IF(I26&gt;0, M26/I26, 0)</f>
        <v/>
      </c>
      <c r="O26" s="21">
        <f>IF(N26&lt;=0.22, "✅ ĐẠT CHUẨN", "⚠️ CẦN TỐI ƯU")</f>
        <v/>
      </c>
      <c r="P26" s="36" t="n"/>
    </row>
  </sheetData>
  <mergeCells count="11">
    <mergeCell ref="N4:P4"/>
    <mergeCell ref="G3:J3"/>
    <mergeCell ref="K4:M4"/>
    <mergeCell ref="A1:P2"/>
    <mergeCell ref="D4:F4"/>
    <mergeCell ref="G4:J4"/>
    <mergeCell ref="D3:F3"/>
    <mergeCell ref="A3:C3"/>
    <mergeCell ref="K3:M3"/>
    <mergeCell ref="A4:C4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14" customWidth="1" min="10" max="10"/>
    <col width="14" customWidth="1" min="11" max="11"/>
    <col width="16" customWidth="1" min="12" max="12"/>
    <col width="22" customWidth="1" min="13" max="13"/>
    <col width="15" customWidth="1" min="14" max="14"/>
    <col width="16" customWidth="1" min="15" max="15"/>
    <col width="30" customWidth="1" min="16" max="16"/>
  </cols>
  <sheetData>
    <row r="1">
      <c r="A1" s="1" t="inlineStr">
        <is>
          <t>🇯🇵 BU2: DỰ TOÁN DOANH THU, LỢI NHUẬN &amp; ADS BUDGET - TOUR NHẬT BẢN (Q4/2026)</t>
        </is>
      </c>
    </row>
    <row r="2"/>
    <row r="3">
      <c r="A3" s="12" t="inlineStr">
        <is>
          <t>DỰ TOÁN DOANH THU TOÀN BU</t>
        </is>
      </c>
      <c r="B3" s="13" t="n"/>
      <c r="C3" s="13" t="n"/>
      <c r="D3" s="12" t="inlineStr">
        <is>
          <t>TỔNG LỢI NHUẬN GỘP BU</t>
        </is>
      </c>
      <c r="E3" s="13" t="n"/>
      <c r="F3" s="13" t="n"/>
      <c r="G3" s="12" t="inlineStr">
        <is>
          <t>TỔNG NGÂN SÁCH ADS ĐỀ XUẤT</t>
        </is>
      </c>
      <c r="H3" s="13" t="n"/>
      <c r="I3" s="13" t="n"/>
      <c r="J3" s="13" t="n"/>
      <c r="K3" s="12" t="inlineStr">
        <is>
          <t>% ADS / LÃI GỘP TOÀN BU</t>
        </is>
      </c>
      <c r="L3" s="13" t="n"/>
      <c r="M3" s="13" t="n"/>
      <c r="N3" s="12" t="inlineStr">
        <is>
          <t>TRẠNG THÁI PHÊ DUYỆT BU</t>
        </is>
      </c>
      <c r="O3" s="13" t="n"/>
      <c r="P3" s="13" t="n"/>
    </row>
    <row r="4">
      <c r="A4" s="14">
        <f>SUM(H7:H30)</f>
        <v/>
      </c>
      <c r="B4" s="13" t="n"/>
      <c r="C4" s="13" t="n"/>
      <c r="D4" s="14">
        <f>SUM(I7:I30)</f>
        <v/>
      </c>
      <c r="E4" s="13" t="n"/>
      <c r="F4" s="13" t="n"/>
      <c r="G4" s="14">
        <f>SUM(M7:M30)</f>
        <v/>
      </c>
      <c r="H4" s="13" t="n"/>
      <c r="I4" s="13" t="n"/>
      <c r="J4" s="13" t="n"/>
      <c r="K4" s="15">
        <f>IF(D4&gt;0, G4/D4, 0)</f>
        <v/>
      </c>
      <c r="L4" s="13" t="n"/>
      <c r="M4" s="13" t="n"/>
      <c r="N4" s="16">
        <f>IF(K4=0, "Chưa có dữ liệu", IF(K4&lt;=0.22, "✅ ĐẠT ĐỊNH MỨC", "⚠️ CẦN TỐI ƯU LẠI"))</f>
        <v/>
      </c>
      <c r="O4" s="13" t="n"/>
      <c r="P4" s="13" t="n"/>
    </row>
    <row r="6" ht="32" customHeight="1">
      <c r="A6" s="4" t="inlineStr">
        <is>
          <t>Tên Tuyến Tour / Sản Phẩm</t>
        </is>
      </c>
      <c r="B6" s="4" t="inlineStr">
        <is>
          <t>Ngày Khởi Hành</t>
        </is>
      </c>
      <c r="C6" s="4" t="inlineStr">
        <is>
          <t>Số Khách Mục Tiêu (Pax)</t>
        </is>
      </c>
      <c r="D6" s="4" t="inlineStr">
        <is>
          <t>Số Khách Hòa Vốn</t>
        </is>
      </c>
      <c r="E6" s="4" t="inlineStr">
        <is>
          <t>Giá Bán / Khách (VND)</t>
        </is>
      </c>
      <c r="F6" s="4" t="inlineStr">
        <is>
          <t>Giá Vốn / Khách (VND)</t>
        </is>
      </c>
      <c r="G6" s="4" t="inlineStr">
        <is>
          <t>Lãi Gộp / Khách (VND)</t>
        </is>
      </c>
      <c r="H6" s="4" t="inlineStr">
        <is>
          <t>DỰ TOÁN DOANH THU (VND)</t>
        </is>
      </c>
      <c r="I6" s="4" t="inlineStr">
        <is>
          <t>DỰ TOÁN LÃI GỘP (VND)</t>
        </is>
      </c>
      <c r="J6" s="4" t="inlineStr">
        <is>
          <t>Tỷ Lệ Chốt Sale (CR%)</t>
        </is>
      </c>
      <c r="K6" s="4" t="inlineStr">
        <is>
          <t>Số Lead SĐT Cần Có</t>
        </is>
      </c>
      <c r="L6" s="4" t="inlineStr">
        <is>
          <t>Giá Lead Trần CPL (VND)</t>
        </is>
      </c>
      <c r="M6" s="4" t="inlineStr">
        <is>
          <t>DỰ TOÁN BUDGET ADS (VND)</t>
        </is>
      </c>
      <c r="N6" s="4" t="inlineStr">
        <is>
          <t>% Ads / Lãi Gộp</t>
        </is>
      </c>
      <c r="O6" s="4" t="inlineStr">
        <is>
          <t>CẢNH BÁO AN TOÀN</t>
        </is>
      </c>
      <c r="P6" s="4" t="inlineStr">
        <is>
          <t>Ghi Chú / Đề Xuất BUM</t>
        </is>
      </c>
    </row>
    <row r="7">
      <c r="A7" s="26" t="inlineStr">
        <is>
          <t>Nhật Bản Cung Đường Vàng (Lá Đỏ T10)</t>
        </is>
      </c>
      <c r="B7" s="27" t="inlineStr">
        <is>
          <t>25/10/2026</t>
        </is>
      </c>
      <c r="C7" s="27" t="n">
        <v>20</v>
      </c>
      <c r="D7" s="27" t="n">
        <v>14</v>
      </c>
      <c r="E7" s="28" t="n">
        <v>42900000</v>
      </c>
      <c r="F7" s="28" t="n">
        <v>34000000</v>
      </c>
      <c r="G7" s="29">
        <f>E7-F7</f>
        <v/>
      </c>
      <c r="H7" s="29">
        <f>C7*E7</f>
        <v/>
      </c>
      <c r="I7" s="29">
        <f>C7*G7</f>
        <v/>
      </c>
      <c r="J7" s="30" t="n">
        <v>0.08</v>
      </c>
      <c r="K7" s="31">
        <f>IF(J7&gt;0, ROUNDUP(C7/J7, 0), 0)</f>
        <v/>
      </c>
      <c r="L7" s="28" t="n">
        <v>190000</v>
      </c>
      <c r="M7" s="29">
        <f>K7*L7</f>
        <v/>
      </c>
      <c r="N7" s="32">
        <f>IF(I7&gt;0, M7/I7, 0)</f>
        <v/>
      </c>
      <c r="O7" s="8">
        <f>IF(N7=0, "", IF(N7&lt;=0.2, "✅ An toàn", IF(N7&lt;=0.25, "⚠️ Cận trần", "❌ VƯỢT TRẦN")))</f>
        <v/>
      </c>
      <c r="P7" s="26" t="inlineStr">
        <is>
          <t>Cao điểm lá đỏ Kyoto - Tokyo</t>
        </is>
      </c>
    </row>
    <row r="8">
      <c r="A8" s="26" t="inlineStr">
        <is>
          <t>Cung Đường Vàng (Đoàn T11)</t>
        </is>
      </c>
      <c r="B8" s="27" t="inlineStr">
        <is>
          <t>15/11/2026</t>
        </is>
      </c>
      <c r="C8" s="27" t="n">
        <v>20</v>
      </c>
      <c r="D8" s="27" t="n">
        <v>14</v>
      </c>
      <c r="E8" s="28" t="n">
        <v>41500000</v>
      </c>
      <c r="F8" s="28" t="n">
        <v>33500000</v>
      </c>
      <c r="G8" s="29">
        <f>E8-F8</f>
        <v/>
      </c>
      <c r="H8" s="29">
        <f>C8*E8</f>
        <v/>
      </c>
      <c r="I8" s="29">
        <f>C8*G8</f>
        <v/>
      </c>
      <c r="J8" s="30" t="n">
        <v>0.08</v>
      </c>
      <c r="K8" s="31">
        <f>IF(J8&gt;0, ROUNDUP(C8/J8, 0), 0)</f>
        <v/>
      </c>
      <c r="L8" s="28" t="n">
        <v>200000</v>
      </c>
      <c r="M8" s="29">
        <f>K8*L8</f>
        <v/>
      </c>
      <c r="N8" s="32">
        <f>IF(I8&gt;0, M8/I8, 0)</f>
        <v/>
      </c>
      <c r="O8" s="8">
        <f>IF(N8=0, "", IF(N8&lt;=0.2, "✅ An toàn", IF(N8&lt;=0.25, "⚠️ Cận trần", "❌ VƯỢT TRẦN")))</f>
        <v/>
      </c>
      <c r="P8" s="26" t="inlineStr">
        <is>
          <t>Đoàn giữa tháng 11</t>
        </is>
      </c>
    </row>
    <row r="9">
      <c r="A9" s="26" t="inlineStr">
        <is>
          <t>Hokkaido Mùa Tuyết Trắng (Noel T12)</t>
        </is>
      </c>
      <c r="B9" s="27" t="inlineStr">
        <is>
          <t>22/12/2026</t>
        </is>
      </c>
      <c r="C9" s="27" t="n">
        <v>18</v>
      </c>
      <c r="D9" s="27" t="n">
        <v>12</v>
      </c>
      <c r="E9" s="28" t="n">
        <v>58000000</v>
      </c>
      <c r="F9" s="28" t="n">
        <v>46000000</v>
      </c>
      <c r="G9" s="29">
        <f>E9-F9</f>
        <v/>
      </c>
      <c r="H9" s="29">
        <f>C9*E9</f>
        <v/>
      </c>
      <c r="I9" s="29">
        <f>C9*G9</f>
        <v/>
      </c>
      <c r="J9" s="30" t="n">
        <v>0.07000000000000001</v>
      </c>
      <c r="K9" s="31">
        <f>IF(J9&gt;0, ROUNDUP(C9/J9, 0), 0)</f>
        <v/>
      </c>
      <c r="L9" s="28" t="n">
        <v>230000</v>
      </c>
      <c r="M9" s="29">
        <f>K9*L9</f>
        <v/>
      </c>
      <c r="N9" s="32">
        <f>IF(I9&gt;0, M9/I9, 0)</f>
        <v/>
      </c>
      <c r="O9" s="8">
        <f>IF(N9=0, "", IF(N9&lt;=0.2, "✅ An toàn", IF(N9&lt;=0.25, "⚠️ Cận trần", "❌ VƯỢT TRẦN")))</f>
        <v/>
      </c>
      <c r="P9" s="26" t="inlineStr">
        <is>
          <t>Tour Noel &amp; Tuyết đầu mùa giá trị cao</t>
        </is>
      </c>
    </row>
    <row r="10">
      <c r="A10" s="33" t="inlineStr"/>
      <c r="B10" s="33" t="inlineStr"/>
      <c r="C10" s="33" t="inlineStr"/>
      <c r="D10" s="33" t="inlineStr"/>
      <c r="E10" s="34" t="inlineStr"/>
      <c r="F10" s="34" t="inlineStr"/>
      <c r="G10" s="29">
        <f>IF(E10&gt;0, E10-F10, 0)</f>
        <v/>
      </c>
      <c r="H10" s="29">
        <f>IF(C10&gt;0, C10*E10, 0)</f>
        <v/>
      </c>
      <c r="I10" s="29">
        <f>IF(C10&gt;0, C10*G10, 0)</f>
        <v/>
      </c>
      <c r="J10" s="35" t="inlineStr"/>
      <c r="K10" s="31">
        <f>IF(AND(C10&gt;0, J10&gt;0), ROUNDUP(C10/J10, 0), 0)</f>
        <v/>
      </c>
      <c r="L10" s="34" t="inlineStr"/>
      <c r="M10" s="29">
        <f>IF(K10&gt;0, K10*L10, 0)</f>
        <v/>
      </c>
      <c r="N10" s="32">
        <f>IF(I10&gt;0, M10/I10, 0)</f>
        <v/>
      </c>
      <c r="O10" s="8">
        <f>IF(M10=0, "", IF(N10&lt;=0.2, "✅ An toàn", IF(N10&lt;=0.25, "⚠️ Cận trần", "❌ VƯỢT TRẦN")))</f>
        <v/>
      </c>
      <c r="P10" s="33" t="inlineStr"/>
    </row>
    <row r="11">
      <c r="A11" s="33" t="inlineStr"/>
      <c r="B11" s="33" t="inlineStr"/>
      <c r="C11" s="33" t="inlineStr"/>
      <c r="D11" s="33" t="inlineStr"/>
      <c r="E11" s="34" t="inlineStr"/>
      <c r="F11" s="34" t="inlineStr"/>
      <c r="G11" s="29">
        <f>IF(E11&gt;0, E11-F11, 0)</f>
        <v/>
      </c>
      <c r="H11" s="29">
        <f>IF(C11&gt;0, C11*E11, 0)</f>
        <v/>
      </c>
      <c r="I11" s="29">
        <f>IF(C11&gt;0, C11*G11, 0)</f>
        <v/>
      </c>
      <c r="J11" s="35" t="inlineStr"/>
      <c r="K11" s="31">
        <f>IF(AND(C11&gt;0, J11&gt;0), ROUNDUP(C11/J11, 0), 0)</f>
        <v/>
      </c>
      <c r="L11" s="34" t="inlineStr"/>
      <c r="M11" s="29">
        <f>IF(K11&gt;0, K11*L11, 0)</f>
        <v/>
      </c>
      <c r="N11" s="32">
        <f>IF(I11&gt;0, M11/I11, 0)</f>
        <v/>
      </c>
      <c r="O11" s="8">
        <f>IF(M11=0, "", IF(N11&lt;=0.2, "✅ An toàn", IF(N11&lt;=0.25, "⚠️ Cận trần", "❌ VƯỢT TRẦN")))</f>
        <v/>
      </c>
      <c r="P11" s="33" t="inlineStr"/>
    </row>
    <row r="12">
      <c r="A12" s="33" t="inlineStr"/>
      <c r="B12" s="33" t="inlineStr"/>
      <c r="C12" s="33" t="inlineStr"/>
      <c r="D12" s="33" t="inlineStr"/>
      <c r="E12" s="34" t="inlineStr"/>
      <c r="F12" s="34" t="inlineStr"/>
      <c r="G12" s="29">
        <f>IF(E12&gt;0, E12-F12, 0)</f>
        <v/>
      </c>
      <c r="H12" s="29">
        <f>IF(C12&gt;0, C12*E12, 0)</f>
        <v/>
      </c>
      <c r="I12" s="29">
        <f>IF(C12&gt;0, C12*G12, 0)</f>
        <v/>
      </c>
      <c r="J12" s="35" t="inlineStr"/>
      <c r="K12" s="31">
        <f>IF(AND(C12&gt;0, J12&gt;0), ROUNDUP(C12/J12, 0), 0)</f>
        <v/>
      </c>
      <c r="L12" s="34" t="inlineStr"/>
      <c r="M12" s="29">
        <f>IF(K12&gt;0, K12*L12, 0)</f>
        <v/>
      </c>
      <c r="N12" s="32">
        <f>IF(I12&gt;0, M12/I12, 0)</f>
        <v/>
      </c>
      <c r="O12" s="8">
        <f>IF(M12=0, "", IF(N12&lt;=0.2, "✅ An toàn", IF(N12&lt;=0.25, "⚠️ Cận trần", "❌ VƯỢT TRẦN")))</f>
        <v/>
      </c>
      <c r="P12" s="33" t="inlineStr"/>
    </row>
    <row r="13">
      <c r="A13" s="33" t="inlineStr"/>
      <c r="B13" s="33" t="inlineStr"/>
      <c r="C13" s="33" t="inlineStr"/>
      <c r="D13" s="33" t="inlineStr"/>
      <c r="E13" s="34" t="inlineStr"/>
      <c r="F13" s="34" t="inlineStr"/>
      <c r="G13" s="29">
        <f>IF(E13&gt;0, E13-F13, 0)</f>
        <v/>
      </c>
      <c r="H13" s="29">
        <f>IF(C13&gt;0, C13*E13, 0)</f>
        <v/>
      </c>
      <c r="I13" s="29">
        <f>IF(C13&gt;0, C13*G13, 0)</f>
        <v/>
      </c>
      <c r="J13" s="35" t="inlineStr"/>
      <c r="K13" s="31">
        <f>IF(AND(C13&gt;0, J13&gt;0), ROUNDUP(C13/J13, 0), 0)</f>
        <v/>
      </c>
      <c r="L13" s="34" t="inlineStr"/>
      <c r="M13" s="29">
        <f>IF(K13&gt;0, K13*L13, 0)</f>
        <v/>
      </c>
      <c r="N13" s="32">
        <f>IF(I13&gt;0, M13/I13, 0)</f>
        <v/>
      </c>
      <c r="O13" s="8">
        <f>IF(M13=0, "", IF(N13&lt;=0.2, "✅ An toàn", IF(N13&lt;=0.25, "⚠️ Cận trần", "❌ VƯỢT TRẦN")))</f>
        <v/>
      </c>
      <c r="P13" s="33" t="inlineStr"/>
    </row>
    <row r="14">
      <c r="A14" s="33" t="inlineStr"/>
      <c r="B14" s="33" t="inlineStr"/>
      <c r="C14" s="33" t="inlineStr"/>
      <c r="D14" s="33" t="inlineStr"/>
      <c r="E14" s="34" t="inlineStr"/>
      <c r="F14" s="34" t="inlineStr"/>
      <c r="G14" s="29">
        <f>IF(E14&gt;0, E14-F14, 0)</f>
        <v/>
      </c>
      <c r="H14" s="29">
        <f>IF(C14&gt;0, C14*E14, 0)</f>
        <v/>
      </c>
      <c r="I14" s="29">
        <f>IF(C14&gt;0, C14*G14, 0)</f>
        <v/>
      </c>
      <c r="J14" s="35" t="inlineStr"/>
      <c r="K14" s="31">
        <f>IF(AND(C14&gt;0, J14&gt;0), ROUNDUP(C14/J14, 0), 0)</f>
        <v/>
      </c>
      <c r="L14" s="34" t="inlineStr"/>
      <c r="M14" s="29">
        <f>IF(K14&gt;0, K14*L14, 0)</f>
        <v/>
      </c>
      <c r="N14" s="32">
        <f>IF(I14&gt;0, M14/I14, 0)</f>
        <v/>
      </c>
      <c r="O14" s="8">
        <f>IF(M14=0, "", IF(N14&lt;=0.2, "✅ An toàn", IF(N14&lt;=0.25, "⚠️ Cận trần", "❌ VƯỢT TRẦN")))</f>
        <v/>
      </c>
      <c r="P14" s="33" t="inlineStr"/>
    </row>
    <row r="15">
      <c r="A15" s="33" t="inlineStr"/>
      <c r="B15" s="33" t="inlineStr"/>
      <c r="C15" s="33" t="inlineStr"/>
      <c r="D15" s="33" t="inlineStr"/>
      <c r="E15" s="34" t="inlineStr"/>
      <c r="F15" s="34" t="inlineStr"/>
      <c r="G15" s="29">
        <f>IF(E15&gt;0, E15-F15, 0)</f>
        <v/>
      </c>
      <c r="H15" s="29">
        <f>IF(C15&gt;0, C15*E15, 0)</f>
        <v/>
      </c>
      <c r="I15" s="29">
        <f>IF(C15&gt;0, C15*G15, 0)</f>
        <v/>
      </c>
      <c r="J15" s="35" t="inlineStr"/>
      <c r="K15" s="31">
        <f>IF(AND(C15&gt;0, J15&gt;0), ROUNDUP(C15/J15, 0), 0)</f>
        <v/>
      </c>
      <c r="L15" s="34" t="inlineStr"/>
      <c r="M15" s="29">
        <f>IF(K15&gt;0, K15*L15, 0)</f>
        <v/>
      </c>
      <c r="N15" s="32">
        <f>IF(I15&gt;0, M15/I15, 0)</f>
        <v/>
      </c>
      <c r="O15" s="8">
        <f>IF(M15=0, "", IF(N15&lt;=0.2, "✅ An toàn", IF(N15&lt;=0.25, "⚠️ Cận trần", "❌ VƯỢT TRẦN")))</f>
        <v/>
      </c>
      <c r="P15" s="33" t="inlineStr"/>
    </row>
    <row r="16">
      <c r="A16" s="33" t="inlineStr"/>
      <c r="B16" s="33" t="inlineStr"/>
      <c r="C16" s="33" t="inlineStr"/>
      <c r="D16" s="33" t="inlineStr"/>
      <c r="E16" s="34" t="inlineStr"/>
      <c r="F16" s="34" t="inlineStr"/>
      <c r="G16" s="29">
        <f>IF(E16&gt;0, E16-F16, 0)</f>
        <v/>
      </c>
      <c r="H16" s="29">
        <f>IF(C16&gt;0, C16*E16, 0)</f>
        <v/>
      </c>
      <c r="I16" s="29">
        <f>IF(C16&gt;0, C16*G16, 0)</f>
        <v/>
      </c>
      <c r="J16" s="35" t="inlineStr"/>
      <c r="K16" s="31">
        <f>IF(AND(C16&gt;0, J16&gt;0), ROUNDUP(C16/J16, 0), 0)</f>
        <v/>
      </c>
      <c r="L16" s="34" t="inlineStr"/>
      <c r="M16" s="29">
        <f>IF(K16&gt;0, K16*L16, 0)</f>
        <v/>
      </c>
      <c r="N16" s="32">
        <f>IF(I16&gt;0, M16/I16, 0)</f>
        <v/>
      </c>
      <c r="O16" s="8">
        <f>IF(M16=0, "", IF(N16&lt;=0.2, "✅ An toàn", IF(N16&lt;=0.25, "⚠️ Cận trần", "❌ VƯỢT TRẦN")))</f>
        <v/>
      </c>
      <c r="P16" s="33" t="inlineStr"/>
    </row>
    <row r="17">
      <c r="A17" s="33" t="inlineStr"/>
      <c r="B17" s="33" t="inlineStr"/>
      <c r="C17" s="33" t="inlineStr"/>
      <c r="D17" s="33" t="inlineStr"/>
      <c r="E17" s="34" t="inlineStr"/>
      <c r="F17" s="34" t="inlineStr"/>
      <c r="G17" s="29">
        <f>IF(E17&gt;0, E17-F17, 0)</f>
        <v/>
      </c>
      <c r="H17" s="29">
        <f>IF(C17&gt;0, C17*E17, 0)</f>
        <v/>
      </c>
      <c r="I17" s="29">
        <f>IF(C17&gt;0, C17*G17, 0)</f>
        <v/>
      </c>
      <c r="J17" s="35" t="inlineStr"/>
      <c r="K17" s="31">
        <f>IF(AND(C17&gt;0, J17&gt;0), ROUNDUP(C17/J17, 0), 0)</f>
        <v/>
      </c>
      <c r="L17" s="34" t="inlineStr"/>
      <c r="M17" s="29">
        <f>IF(K17&gt;0, K17*L17, 0)</f>
        <v/>
      </c>
      <c r="N17" s="32">
        <f>IF(I17&gt;0, M17/I17, 0)</f>
        <v/>
      </c>
      <c r="O17" s="8">
        <f>IF(M17=0, "", IF(N17&lt;=0.2, "✅ An toàn", IF(N17&lt;=0.25, "⚠️ Cận trần", "❌ VƯỢT TRẦN")))</f>
        <v/>
      </c>
      <c r="P17" s="33" t="inlineStr"/>
    </row>
    <row r="18">
      <c r="A18" s="33" t="inlineStr"/>
      <c r="B18" s="33" t="inlineStr"/>
      <c r="C18" s="33" t="inlineStr"/>
      <c r="D18" s="33" t="inlineStr"/>
      <c r="E18" s="34" t="inlineStr"/>
      <c r="F18" s="34" t="inlineStr"/>
      <c r="G18" s="29">
        <f>IF(E18&gt;0, E18-F18, 0)</f>
        <v/>
      </c>
      <c r="H18" s="29">
        <f>IF(C18&gt;0, C18*E18, 0)</f>
        <v/>
      </c>
      <c r="I18" s="29">
        <f>IF(C18&gt;0, C18*G18, 0)</f>
        <v/>
      </c>
      <c r="J18" s="35" t="inlineStr"/>
      <c r="K18" s="31">
        <f>IF(AND(C18&gt;0, J18&gt;0), ROUNDUP(C18/J18, 0), 0)</f>
        <v/>
      </c>
      <c r="L18" s="34" t="inlineStr"/>
      <c r="M18" s="29">
        <f>IF(K18&gt;0, K18*L18, 0)</f>
        <v/>
      </c>
      <c r="N18" s="32">
        <f>IF(I18&gt;0, M18/I18, 0)</f>
        <v/>
      </c>
      <c r="O18" s="8">
        <f>IF(M18=0, "", IF(N18&lt;=0.2, "✅ An toàn", IF(N18&lt;=0.25, "⚠️ Cận trần", "❌ VƯỢT TRẦN")))</f>
        <v/>
      </c>
      <c r="P18" s="33" t="inlineStr"/>
    </row>
    <row r="19">
      <c r="A19" s="33" t="inlineStr"/>
      <c r="B19" s="33" t="inlineStr"/>
      <c r="C19" s="33" t="inlineStr"/>
      <c r="D19" s="33" t="inlineStr"/>
      <c r="E19" s="34" t="inlineStr"/>
      <c r="F19" s="34" t="inlineStr"/>
      <c r="G19" s="29">
        <f>IF(E19&gt;0, E19-F19, 0)</f>
        <v/>
      </c>
      <c r="H19" s="29">
        <f>IF(C19&gt;0, C19*E19, 0)</f>
        <v/>
      </c>
      <c r="I19" s="29">
        <f>IF(C19&gt;0, C19*G19, 0)</f>
        <v/>
      </c>
      <c r="J19" s="35" t="inlineStr"/>
      <c r="K19" s="31">
        <f>IF(AND(C19&gt;0, J19&gt;0), ROUNDUP(C19/J19, 0), 0)</f>
        <v/>
      </c>
      <c r="L19" s="34" t="inlineStr"/>
      <c r="M19" s="29">
        <f>IF(K19&gt;0, K19*L19, 0)</f>
        <v/>
      </c>
      <c r="N19" s="32">
        <f>IF(I19&gt;0, M19/I19, 0)</f>
        <v/>
      </c>
      <c r="O19" s="8">
        <f>IF(M19=0, "", IF(N19&lt;=0.2, "✅ An toàn", IF(N19&lt;=0.25, "⚠️ Cận trần", "❌ VƯỢT TRẦN")))</f>
        <v/>
      </c>
      <c r="P19" s="33" t="inlineStr"/>
    </row>
    <row r="20">
      <c r="A20" s="33" t="inlineStr"/>
      <c r="B20" s="33" t="inlineStr"/>
      <c r="C20" s="33" t="inlineStr"/>
      <c r="D20" s="33" t="inlineStr"/>
      <c r="E20" s="34" t="inlineStr"/>
      <c r="F20" s="34" t="inlineStr"/>
      <c r="G20" s="29">
        <f>IF(E20&gt;0, E20-F20, 0)</f>
        <v/>
      </c>
      <c r="H20" s="29">
        <f>IF(C20&gt;0, C20*E20, 0)</f>
        <v/>
      </c>
      <c r="I20" s="29">
        <f>IF(C20&gt;0, C20*G20, 0)</f>
        <v/>
      </c>
      <c r="J20" s="35" t="inlineStr"/>
      <c r="K20" s="31">
        <f>IF(AND(C20&gt;0, J20&gt;0), ROUNDUP(C20/J20, 0), 0)</f>
        <v/>
      </c>
      <c r="L20" s="34" t="inlineStr"/>
      <c r="M20" s="29">
        <f>IF(K20&gt;0, K20*L20, 0)</f>
        <v/>
      </c>
      <c r="N20" s="32">
        <f>IF(I20&gt;0, M20/I20, 0)</f>
        <v/>
      </c>
      <c r="O20" s="8">
        <f>IF(M20=0, "", IF(N20&lt;=0.2, "✅ An toàn", IF(N20&lt;=0.25, "⚠️ Cận trần", "❌ VƯỢT TRẦN")))</f>
        <v/>
      </c>
      <c r="P20" s="33" t="inlineStr"/>
    </row>
    <row r="21">
      <c r="A21" s="33" t="inlineStr"/>
      <c r="B21" s="33" t="inlineStr"/>
      <c r="C21" s="33" t="inlineStr"/>
      <c r="D21" s="33" t="inlineStr"/>
      <c r="E21" s="34" t="inlineStr"/>
      <c r="F21" s="34" t="inlineStr"/>
      <c r="G21" s="29">
        <f>IF(E21&gt;0, E21-F21, 0)</f>
        <v/>
      </c>
      <c r="H21" s="29">
        <f>IF(C21&gt;0, C21*E21, 0)</f>
        <v/>
      </c>
      <c r="I21" s="29">
        <f>IF(C21&gt;0, C21*G21, 0)</f>
        <v/>
      </c>
      <c r="J21" s="35" t="inlineStr"/>
      <c r="K21" s="31">
        <f>IF(AND(C21&gt;0, J21&gt;0), ROUNDUP(C21/J21, 0), 0)</f>
        <v/>
      </c>
      <c r="L21" s="34" t="inlineStr"/>
      <c r="M21" s="29">
        <f>IF(K21&gt;0, K21*L21, 0)</f>
        <v/>
      </c>
      <c r="N21" s="32">
        <f>IF(I21&gt;0, M21/I21, 0)</f>
        <v/>
      </c>
      <c r="O21" s="8">
        <f>IF(M21=0, "", IF(N21&lt;=0.2, "✅ An toàn", IF(N21&lt;=0.25, "⚠️ Cận trần", "❌ VƯỢT TRẦN")))</f>
        <v/>
      </c>
      <c r="P21" s="33" t="inlineStr"/>
    </row>
    <row r="22">
      <c r="A22" s="33" t="inlineStr"/>
      <c r="B22" s="33" t="inlineStr"/>
      <c r="C22" s="33" t="inlineStr"/>
      <c r="D22" s="33" t="inlineStr"/>
      <c r="E22" s="34" t="inlineStr"/>
      <c r="F22" s="34" t="inlineStr"/>
      <c r="G22" s="29">
        <f>IF(E22&gt;0, E22-F22, 0)</f>
        <v/>
      </c>
      <c r="H22" s="29">
        <f>IF(C22&gt;0, C22*E22, 0)</f>
        <v/>
      </c>
      <c r="I22" s="29">
        <f>IF(C22&gt;0, C22*G22, 0)</f>
        <v/>
      </c>
      <c r="J22" s="35" t="inlineStr"/>
      <c r="K22" s="31">
        <f>IF(AND(C22&gt;0, J22&gt;0), ROUNDUP(C22/J22, 0), 0)</f>
        <v/>
      </c>
      <c r="L22" s="34" t="inlineStr"/>
      <c r="M22" s="29">
        <f>IF(K22&gt;0, K22*L22, 0)</f>
        <v/>
      </c>
      <c r="N22" s="32">
        <f>IF(I22&gt;0, M22/I22, 0)</f>
        <v/>
      </c>
      <c r="O22" s="8">
        <f>IF(M22=0, "", IF(N22&lt;=0.2, "✅ An toàn", IF(N22&lt;=0.25, "⚠️ Cận trần", "❌ VƯỢT TRẦN")))</f>
        <v/>
      </c>
      <c r="P22" s="33" t="inlineStr"/>
    </row>
    <row r="23">
      <c r="A23" s="33" t="inlineStr"/>
      <c r="B23" s="33" t="inlineStr"/>
      <c r="C23" s="33" t="inlineStr"/>
      <c r="D23" s="33" t="inlineStr"/>
      <c r="E23" s="34" t="inlineStr"/>
      <c r="F23" s="34" t="inlineStr"/>
      <c r="G23" s="29">
        <f>IF(E23&gt;0, E23-F23, 0)</f>
        <v/>
      </c>
      <c r="H23" s="29">
        <f>IF(C23&gt;0, C23*E23, 0)</f>
        <v/>
      </c>
      <c r="I23" s="29">
        <f>IF(C23&gt;0, C23*G23, 0)</f>
        <v/>
      </c>
      <c r="J23" s="35" t="inlineStr"/>
      <c r="K23" s="31">
        <f>IF(AND(C23&gt;0, J23&gt;0), ROUNDUP(C23/J23, 0), 0)</f>
        <v/>
      </c>
      <c r="L23" s="34" t="inlineStr"/>
      <c r="M23" s="29">
        <f>IF(K23&gt;0, K23*L23, 0)</f>
        <v/>
      </c>
      <c r="N23" s="32">
        <f>IF(I23&gt;0, M23/I23, 0)</f>
        <v/>
      </c>
      <c r="O23" s="8">
        <f>IF(M23=0, "", IF(N23&lt;=0.2, "✅ An toàn", IF(N23&lt;=0.25, "⚠️ Cận trần", "❌ VƯỢT TRẦN")))</f>
        <v/>
      </c>
      <c r="P23" s="33" t="inlineStr"/>
    </row>
    <row r="24">
      <c r="A24" s="33" t="inlineStr"/>
      <c r="B24" s="33" t="inlineStr"/>
      <c r="C24" s="33" t="inlineStr"/>
      <c r="D24" s="33" t="inlineStr"/>
      <c r="E24" s="34" t="inlineStr"/>
      <c r="F24" s="34" t="inlineStr"/>
      <c r="G24" s="29">
        <f>IF(E24&gt;0, E24-F24, 0)</f>
        <v/>
      </c>
      <c r="H24" s="29">
        <f>IF(C24&gt;0, C24*E24, 0)</f>
        <v/>
      </c>
      <c r="I24" s="29">
        <f>IF(C24&gt;0, C24*G24, 0)</f>
        <v/>
      </c>
      <c r="J24" s="35" t="inlineStr"/>
      <c r="K24" s="31">
        <f>IF(AND(C24&gt;0, J24&gt;0), ROUNDUP(C24/J24, 0), 0)</f>
        <v/>
      </c>
      <c r="L24" s="34" t="inlineStr"/>
      <c r="M24" s="29">
        <f>IF(K24&gt;0, K24*L24, 0)</f>
        <v/>
      </c>
      <c r="N24" s="32">
        <f>IF(I24&gt;0, M24/I24, 0)</f>
        <v/>
      </c>
      <c r="O24" s="8">
        <f>IF(M24=0, "", IF(N24&lt;=0.2, "✅ An toàn", IF(N24&lt;=0.25, "⚠️ Cận trần", "❌ VƯỢT TRẦN")))</f>
        <v/>
      </c>
      <c r="P24" s="33" t="inlineStr"/>
    </row>
    <row r="25">
      <c r="A25" s="22" t="inlineStr">
        <is>
          <t>TỔNG CỘNG TOÀN BU</t>
        </is>
      </c>
      <c r="B25" s="36" t="n"/>
      <c r="C25" s="21">
        <f>SUM(C7:C24)</f>
        <v/>
      </c>
      <c r="D25" s="36" t="n"/>
      <c r="E25" s="36" t="n"/>
      <c r="F25" s="36" t="n"/>
      <c r="G25" s="36" t="n"/>
      <c r="H25" s="23">
        <f>SUM(H7:H24)</f>
        <v/>
      </c>
      <c r="I25" s="23">
        <f>SUM(I7:I24)</f>
        <v/>
      </c>
      <c r="J25" s="36" t="n"/>
      <c r="K25" s="24">
        <f>SUM(K7:K24)</f>
        <v/>
      </c>
      <c r="L25" s="36" t="n"/>
      <c r="M25" s="23">
        <f>SUM(M7:M24)</f>
        <v/>
      </c>
      <c r="N25" s="25">
        <f>IF(I25&gt;0, M25/I25, 0)</f>
        <v/>
      </c>
      <c r="O25" s="21">
        <f>IF(N25&lt;=0.22, "✅ ĐẠT CHUẨN", "⚠️ CẦN TỐI ƯU")</f>
        <v/>
      </c>
      <c r="P25" s="36" t="n"/>
    </row>
  </sheetData>
  <mergeCells count="11">
    <mergeCell ref="N4:P4"/>
    <mergeCell ref="G3:J3"/>
    <mergeCell ref="K4:M4"/>
    <mergeCell ref="A1:P2"/>
    <mergeCell ref="D4:F4"/>
    <mergeCell ref="G4:J4"/>
    <mergeCell ref="D3:F3"/>
    <mergeCell ref="A3:C3"/>
    <mergeCell ref="K3:M3"/>
    <mergeCell ref="A4:C4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14" customWidth="1" min="10" max="10"/>
    <col width="14" customWidth="1" min="11" max="11"/>
    <col width="16" customWidth="1" min="12" max="12"/>
    <col width="22" customWidth="1" min="13" max="13"/>
    <col width="15" customWidth="1" min="14" max="14"/>
    <col width="16" customWidth="1" min="15" max="15"/>
    <col width="30" customWidth="1" min="16" max="16"/>
  </cols>
  <sheetData>
    <row r="1">
      <c r="A1" s="1" t="inlineStr">
        <is>
          <t>🌏 BU3: DỰ TOÁN DOANH THU, LỢI NHUẬN &amp; ADS BUDGET - TOUR CHÂU ÂU &amp; ÚC (Q4/2026)</t>
        </is>
      </c>
    </row>
    <row r="2"/>
    <row r="3">
      <c r="A3" s="12" t="inlineStr">
        <is>
          <t>DỰ TOÁN DOANH THU TOÀN BU</t>
        </is>
      </c>
      <c r="B3" s="13" t="n"/>
      <c r="C3" s="13" t="n"/>
      <c r="D3" s="12" t="inlineStr">
        <is>
          <t>TỔNG LỢI NHUẬN GỘP BU</t>
        </is>
      </c>
      <c r="E3" s="13" t="n"/>
      <c r="F3" s="13" t="n"/>
      <c r="G3" s="12" t="inlineStr">
        <is>
          <t>TỔNG NGÂN SÁCH ADS ĐỀ XUẤT</t>
        </is>
      </c>
      <c r="H3" s="13" t="n"/>
      <c r="I3" s="13" t="n"/>
      <c r="J3" s="13" t="n"/>
      <c r="K3" s="12" t="inlineStr">
        <is>
          <t>% ADS / LÃI GỘP TOÀN BU</t>
        </is>
      </c>
      <c r="L3" s="13" t="n"/>
      <c r="M3" s="13" t="n"/>
      <c r="N3" s="12" t="inlineStr">
        <is>
          <t>TRẠNG THÁI PHÊ DUYỆT BU</t>
        </is>
      </c>
      <c r="O3" s="13" t="n"/>
      <c r="P3" s="13" t="n"/>
    </row>
    <row r="4">
      <c r="A4" s="14">
        <f>SUM(H7:H30)</f>
        <v/>
      </c>
      <c r="B4" s="13" t="n"/>
      <c r="C4" s="13" t="n"/>
      <c r="D4" s="14">
        <f>SUM(I7:I30)</f>
        <v/>
      </c>
      <c r="E4" s="13" t="n"/>
      <c r="F4" s="13" t="n"/>
      <c r="G4" s="14">
        <f>SUM(M7:M30)</f>
        <v/>
      </c>
      <c r="H4" s="13" t="n"/>
      <c r="I4" s="13" t="n"/>
      <c r="J4" s="13" t="n"/>
      <c r="K4" s="15">
        <f>IF(D4&gt;0, G4/D4, 0)</f>
        <v/>
      </c>
      <c r="L4" s="13" t="n"/>
      <c r="M4" s="13" t="n"/>
      <c r="N4" s="16">
        <f>IF(K4=0, "Chưa có dữ liệu", IF(K4&lt;=0.22, "✅ ĐẠT ĐỊNH MỨC", "⚠️ CẦN TỐI ƯU LẠI"))</f>
        <v/>
      </c>
      <c r="O4" s="13" t="n"/>
      <c r="P4" s="13" t="n"/>
    </row>
    <row r="6" ht="32" customHeight="1">
      <c r="A6" s="4" t="inlineStr">
        <is>
          <t>Tên Tuyến Tour / Sản Phẩm</t>
        </is>
      </c>
      <c r="B6" s="4" t="inlineStr">
        <is>
          <t>Ngày Khởi Hành</t>
        </is>
      </c>
      <c r="C6" s="4" t="inlineStr">
        <is>
          <t>Số Khách Mục Tiêu (Pax)</t>
        </is>
      </c>
      <c r="D6" s="4" t="inlineStr">
        <is>
          <t>Số Khách Hòa Vốn</t>
        </is>
      </c>
      <c r="E6" s="4" t="inlineStr">
        <is>
          <t>Giá Bán / Khách (VND)</t>
        </is>
      </c>
      <c r="F6" s="4" t="inlineStr">
        <is>
          <t>Giá Vốn / Khách (VND)</t>
        </is>
      </c>
      <c r="G6" s="4" t="inlineStr">
        <is>
          <t>Lãi Gộp / Khách (VND)</t>
        </is>
      </c>
      <c r="H6" s="4" t="inlineStr">
        <is>
          <t>DỰ TOÁN DOANH THU (VND)</t>
        </is>
      </c>
      <c r="I6" s="4" t="inlineStr">
        <is>
          <t>DỰ TOÁN LÃI GỘP (VND)</t>
        </is>
      </c>
      <c r="J6" s="4" t="inlineStr">
        <is>
          <t>Tỷ Lệ Chốt Sale (CR%)</t>
        </is>
      </c>
      <c r="K6" s="4" t="inlineStr">
        <is>
          <t>Số Lead SĐT Cần Có</t>
        </is>
      </c>
      <c r="L6" s="4" t="inlineStr">
        <is>
          <t>Giá Lead Trần CPL (VND)</t>
        </is>
      </c>
      <c r="M6" s="4" t="inlineStr">
        <is>
          <t>DỰ TOÁN BUDGET ADS (VND)</t>
        </is>
      </c>
      <c r="N6" s="4" t="inlineStr">
        <is>
          <t>% Ads / Lãi Gộp</t>
        </is>
      </c>
      <c r="O6" s="4" t="inlineStr">
        <is>
          <t>CẢNH BÁO AN TOÀN</t>
        </is>
      </c>
      <c r="P6" s="4" t="inlineStr">
        <is>
          <t>Ghi Chú / Đề Xuất BUM</t>
        </is>
      </c>
    </row>
    <row r="7">
      <c r="A7" s="26" t="inlineStr">
        <is>
          <t>Tây Âu 5 Nước (Pháp - Thụy - Ý)</t>
        </is>
      </c>
      <c r="B7" s="27" t="inlineStr">
        <is>
          <t>10/11/2026</t>
        </is>
      </c>
      <c r="C7" s="27" t="n">
        <v>15</v>
      </c>
      <c r="D7" s="27" t="n">
        <v>11</v>
      </c>
      <c r="E7" s="28" t="n">
        <v>89000000</v>
      </c>
      <c r="F7" s="28" t="n">
        <v>72000000</v>
      </c>
      <c r="G7" s="29">
        <f>E7-F7</f>
        <v/>
      </c>
      <c r="H7" s="29">
        <f>C7*E7</f>
        <v/>
      </c>
      <c r="I7" s="29">
        <f>C7*G7</f>
        <v/>
      </c>
      <c r="J7" s="30" t="n">
        <v>0.05</v>
      </c>
      <c r="K7" s="31">
        <f>IF(J7&gt;0, ROUNDUP(C7/J7, 0), 0)</f>
        <v/>
      </c>
      <c r="L7" s="28" t="n">
        <v>480000</v>
      </c>
      <c r="M7" s="29">
        <f>K7*L7</f>
        <v/>
      </c>
      <c r="N7" s="32">
        <f>IF(I7&gt;0, M7/I7, 0)</f>
        <v/>
      </c>
      <c r="O7" s="8">
        <f>IF(N7=0, "", IF(N7&lt;=0.2, "✅ An toàn", IF(N7&lt;=0.25, "⚠️ Cận trần", "❌ VƯỢT TRẦN")))</f>
        <v/>
      </c>
      <c r="P7" s="26" t="inlineStr">
        <is>
          <t>Làm visa trước 45 ngày, cần gom sớm</t>
        </is>
      </c>
    </row>
    <row r="8">
      <c r="A8" s="26" t="inlineStr">
        <is>
          <t>Đông Âu Mùa Đông Cổ Tích</t>
        </is>
      </c>
      <c r="B8" s="27" t="inlineStr">
        <is>
          <t>05/12/2026</t>
        </is>
      </c>
      <c r="C8" s="27" t="n">
        <v>15</v>
      </c>
      <c r="D8" s="27" t="n">
        <v>11</v>
      </c>
      <c r="E8" s="28" t="n">
        <v>79000000</v>
      </c>
      <c r="F8" s="28" t="n">
        <v>64000000</v>
      </c>
      <c r="G8" s="29">
        <f>E8-F8</f>
        <v/>
      </c>
      <c r="H8" s="29">
        <f>C8*E8</f>
        <v/>
      </c>
      <c r="I8" s="29">
        <f>C8*G8</f>
        <v/>
      </c>
      <c r="J8" s="30" t="n">
        <v>0.05</v>
      </c>
      <c r="K8" s="31">
        <f>IF(J8&gt;0, ROUNDUP(C8/J8, 0), 0)</f>
        <v/>
      </c>
      <c r="L8" s="28" t="n">
        <v>450000</v>
      </c>
      <c r="M8" s="29">
        <f>K8*L8</f>
        <v/>
      </c>
      <c r="N8" s="32">
        <f>IF(I8&gt;0, M8/I8, 0)</f>
        <v/>
      </c>
      <c r="O8" s="8">
        <f>IF(N8=0, "", IF(N8&lt;=0.2, "✅ An toàn", IF(N8&lt;=0.25, "⚠️ Cận trần", "❌ VƯỢT TRẦN")))</f>
        <v/>
      </c>
      <c r="P8" s="26" t="inlineStr">
        <is>
          <t>Cộng hòa Séc - Áo - Hungary</t>
        </is>
      </c>
    </row>
    <row r="9">
      <c r="A9" s="26" t="inlineStr">
        <is>
          <t>Úc Mùa Hè Sydney - Melbourne (Tết)</t>
        </is>
      </c>
      <c r="B9" s="27" t="inlineStr">
        <is>
          <t>28/12/2026</t>
        </is>
      </c>
      <c r="C9" s="27" t="n">
        <v>16</v>
      </c>
      <c r="D9" s="27" t="n">
        <v>12</v>
      </c>
      <c r="E9" s="28" t="n">
        <v>85000000</v>
      </c>
      <c r="F9" s="28" t="n">
        <v>68000000</v>
      </c>
      <c r="G9" s="29">
        <f>E9-F9</f>
        <v/>
      </c>
      <c r="H9" s="29">
        <f>C9*E9</f>
        <v/>
      </c>
      <c r="I9" s="29">
        <f>C9*G9</f>
        <v/>
      </c>
      <c r="J9" s="30" t="n">
        <v>0.06</v>
      </c>
      <c r="K9" s="31">
        <f>IF(J9&gt;0, ROUNDUP(C9/J9, 0), 0)</f>
        <v/>
      </c>
      <c r="L9" s="28" t="n">
        <v>420000</v>
      </c>
      <c r="M9" s="29">
        <f>K9*L9</f>
        <v/>
      </c>
      <c r="N9" s="32">
        <f>IF(I9&gt;0, M9/I9, 0)</f>
        <v/>
      </c>
      <c r="O9" s="8">
        <f>IF(N9=0, "", IF(N9&lt;=0.2, "✅ An toàn", IF(N9&lt;=0.25, "⚠️ Cận trần", "❌ VƯỢT TRẦN")))</f>
        <v/>
      </c>
      <c r="P9" s="26" t="inlineStr">
        <is>
          <t>Đoàn Tết Dương lịch đón pháo hoa</t>
        </is>
      </c>
    </row>
    <row r="10">
      <c r="A10" s="33" t="inlineStr"/>
      <c r="B10" s="33" t="inlineStr"/>
      <c r="C10" s="33" t="inlineStr"/>
      <c r="D10" s="33" t="inlineStr"/>
      <c r="E10" s="34" t="inlineStr"/>
      <c r="F10" s="34" t="inlineStr"/>
      <c r="G10" s="29">
        <f>IF(E10&gt;0, E10-F10, 0)</f>
        <v/>
      </c>
      <c r="H10" s="29">
        <f>IF(C10&gt;0, C10*E10, 0)</f>
        <v/>
      </c>
      <c r="I10" s="29">
        <f>IF(C10&gt;0, C10*G10, 0)</f>
        <v/>
      </c>
      <c r="J10" s="35" t="inlineStr"/>
      <c r="K10" s="31">
        <f>IF(AND(C10&gt;0, J10&gt;0), ROUNDUP(C10/J10, 0), 0)</f>
        <v/>
      </c>
      <c r="L10" s="34" t="inlineStr"/>
      <c r="M10" s="29">
        <f>IF(K10&gt;0, K10*L10, 0)</f>
        <v/>
      </c>
      <c r="N10" s="32">
        <f>IF(I10&gt;0, M10/I10, 0)</f>
        <v/>
      </c>
      <c r="O10" s="8">
        <f>IF(M10=0, "", IF(N10&lt;=0.2, "✅ An toàn", IF(N10&lt;=0.25, "⚠️ Cận trần", "❌ VƯỢT TRẦN")))</f>
        <v/>
      </c>
      <c r="P10" s="33" t="inlineStr"/>
    </row>
    <row r="11">
      <c r="A11" s="33" t="inlineStr"/>
      <c r="B11" s="33" t="inlineStr"/>
      <c r="C11" s="33" t="inlineStr"/>
      <c r="D11" s="33" t="inlineStr"/>
      <c r="E11" s="34" t="inlineStr"/>
      <c r="F11" s="34" t="inlineStr"/>
      <c r="G11" s="29">
        <f>IF(E11&gt;0, E11-F11, 0)</f>
        <v/>
      </c>
      <c r="H11" s="29">
        <f>IF(C11&gt;0, C11*E11, 0)</f>
        <v/>
      </c>
      <c r="I11" s="29">
        <f>IF(C11&gt;0, C11*G11, 0)</f>
        <v/>
      </c>
      <c r="J11" s="35" t="inlineStr"/>
      <c r="K11" s="31">
        <f>IF(AND(C11&gt;0, J11&gt;0), ROUNDUP(C11/J11, 0), 0)</f>
        <v/>
      </c>
      <c r="L11" s="34" t="inlineStr"/>
      <c r="M11" s="29">
        <f>IF(K11&gt;0, K11*L11, 0)</f>
        <v/>
      </c>
      <c r="N11" s="32">
        <f>IF(I11&gt;0, M11/I11, 0)</f>
        <v/>
      </c>
      <c r="O11" s="8">
        <f>IF(M11=0, "", IF(N11&lt;=0.2, "✅ An toàn", IF(N11&lt;=0.25, "⚠️ Cận trần", "❌ VƯỢT TRẦN")))</f>
        <v/>
      </c>
      <c r="P11" s="33" t="inlineStr"/>
    </row>
    <row r="12">
      <c r="A12" s="33" t="inlineStr"/>
      <c r="B12" s="33" t="inlineStr"/>
      <c r="C12" s="33" t="inlineStr"/>
      <c r="D12" s="33" t="inlineStr"/>
      <c r="E12" s="34" t="inlineStr"/>
      <c r="F12" s="34" t="inlineStr"/>
      <c r="G12" s="29">
        <f>IF(E12&gt;0, E12-F12, 0)</f>
        <v/>
      </c>
      <c r="H12" s="29">
        <f>IF(C12&gt;0, C12*E12, 0)</f>
        <v/>
      </c>
      <c r="I12" s="29">
        <f>IF(C12&gt;0, C12*G12, 0)</f>
        <v/>
      </c>
      <c r="J12" s="35" t="inlineStr"/>
      <c r="K12" s="31">
        <f>IF(AND(C12&gt;0, J12&gt;0), ROUNDUP(C12/J12, 0), 0)</f>
        <v/>
      </c>
      <c r="L12" s="34" t="inlineStr"/>
      <c r="M12" s="29">
        <f>IF(K12&gt;0, K12*L12, 0)</f>
        <v/>
      </c>
      <c r="N12" s="32">
        <f>IF(I12&gt;0, M12/I12, 0)</f>
        <v/>
      </c>
      <c r="O12" s="8">
        <f>IF(M12=0, "", IF(N12&lt;=0.2, "✅ An toàn", IF(N12&lt;=0.25, "⚠️ Cận trần", "❌ VƯỢT TRẦN")))</f>
        <v/>
      </c>
      <c r="P12" s="33" t="inlineStr"/>
    </row>
    <row r="13">
      <c r="A13" s="33" t="inlineStr"/>
      <c r="B13" s="33" t="inlineStr"/>
      <c r="C13" s="33" t="inlineStr"/>
      <c r="D13" s="33" t="inlineStr"/>
      <c r="E13" s="34" t="inlineStr"/>
      <c r="F13" s="34" t="inlineStr"/>
      <c r="G13" s="29">
        <f>IF(E13&gt;0, E13-F13, 0)</f>
        <v/>
      </c>
      <c r="H13" s="29">
        <f>IF(C13&gt;0, C13*E13, 0)</f>
        <v/>
      </c>
      <c r="I13" s="29">
        <f>IF(C13&gt;0, C13*G13, 0)</f>
        <v/>
      </c>
      <c r="J13" s="35" t="inlineStr"/>
      <c r="K13" s="31">
        <f>IF(AND(C13&gt;0, J13&gt;0), ROUNDUP(C13/J13, 0), 0)</f>
        <v/>
      </c>
      <c r="L13" s="34" t="inlineStr"/>
      <c r="M13" s="29">
        <f>IF(K13&gt;0, K13*L13, 0)</f>
        <v/>
      </c>
      <c r="N13" s="32">
        <f>IF(I13&gt;0, M13/I13, 0)</f>
        <v/>
      </c>
      <c r="O13" s="8">
        <f>IF(M13=0, "", IF(N13&lt;=0.2, "✅ An toàn", IF(N13&lt;=0.25, "⚠️ Cận trần", "❌ VƯỢT TRẦN")))</f>
        <v/>
      </c>
      <c r="P13" s="33" t="inlineStr"/>
    </row>
    <row r="14">
      <c r="A14" s="33" t="inlineStr"/>
      <c r="B14" s="33" t="inlineStr"/>
      <c r="C14" s="33" t="inlineStr"/>
      <c r="D14" s="33" t="inlineStr"/>
      <c r="E14" s="34" t="inlineStr"/>
      <c r="F14" s="34" t="inlineStr"/>
      <c r="G14" s="29">
        <f>IF(E14&gt;0, E14-F14, 0)</f>
        <v/>
      </c>
      <c r="H14" s="29">
        <f>IF(C14&gt;0, C14*E14, 0)</f>
        <v/>
      </c>
      <c r="I14" s="29">
        <f>IF(C14&gt;0, C14*G14, 0)</f>
        <v/>
      </c>
      <c r="J14" s="35" t="inlineStr"/>
      <c r="K14" s="31">
        <f>IF(AND(C14&gt;0, J14&gt;0), ROUNDUP(C14/J14, 0), 0)</f>
        <v/>
      </c>
      <c r="L14" s="34" t="inlineStr"/>
      <c r="M14" s="29">
        <f>IF(K14&gt;0, K14*L14, 0)</f>
        <v/>
      </c>
      <c r="N14" s="32">
        <f>IF(I14&gt;0, M14/I14, 0)</f>
        <v/>
      </c>
      <c r="O14" s="8">
        <f>IF(M14=0, "", IF(N14&lt;=0.2, "✅ An toàn", IF(N14&lt;=0.25, "⚠️ Cận trần", "❌ VƯỢT TRẦN")))</f>
        <v/>
      </c>
      <c r="P14" s="33" t="inlineStr"/>
    </row>
    <row r="15">
      <c r="A15" s="33" t="inlineStr"/>
      <c r="B15" s="33" t="inlineStr"/>
      <c r="C15" s="33" t="inlineStr"/>
      <c r="D15" s="33" t="inlineStr"/>
      <c r="E15" s="34" t="inlineStr"/>
      <c r="F15" s="34" t="inlineStr"/>
      <c r="G15" s="29">
        <f>IF(E15&gt;0, E15-F15, 0)</f>
        <v/>
      </c>
      <c r="H15" s="29">
        <f>IF(C15&gt;0, C15*E15, 0)</f>
        <v/>
      </c>
      <c r="I15" s="29">
        <f>IF(C15&gt;0, C15*G15, 0)</f>
        <v/>
      </c>
      <c r="J15" s="35" t="inlineStr"/>
      <c r="K15" s="31">
        <f>IF(AND(C15&gt;0, J15&gt;0), ROUNDUP(C15/J15, 0), 0)</f>
        <v/>
      </c>
      <c r="L15" s="34" t="inlineStr"/>
      <c r="M15" s="29">
        <f>IF(K15&gt;0, K15*L15, 0)</f>
        <v/>
      </c>
      <c r="N15" s="32">
        <f>IF(I15&gt;0, M15/I15, 0)</f>
        <v/>
      </c>
      <c r="O15" s="8">
        <f>IF(M15=0, "", IF(N15&lt;=0.2, "✅ An toàn", IF(N15&lt;=0.25, "⚠️ Cận trần", "❌ VƯỢT TRẦN")))</f>
        <v/>
      </c>
      <c r="P15" s="33" t="inlineStr"/>
    </row>
    <row r="16">
      <c r="A16" s="33" t="inlineStr"/>
      <c r="B16" s="33" t="inlineStr"/>
      <c r="C16" s="33" t="inlineStr"/>
      <c r="D16" s="33" t="inlineStr"/>
      <c r="E16" s="34" t="inlineStr"/>
      <c r="F16" s="34" t="inlineStr"/>
      <c r="G16" s="29">
        <f>IF(E16&gt;0, E16-F16, 0)</f>
        <v/>
      </c>
      <c r="H16" s="29">
        <f>IF(C16&gt;0, C16*E16, 0)</f>
        <v/>
      </c>
      <c r="I16" s="29">
        <f>IF(C16&gt;0, C16*G16, 0)</f>
        <v/>
      </c>
      <c r="J16" s="35" t="inlineStr"/>
      <c r="K16" s="31">
        <f>IF(AND(C16&gt;0, J16&gt;0), ROUNDUP(C16/J16, 0), 0)</f>
        <v/>
      </c>
      <c r="L16" s="34" t="inlineStr"/>
      <c r="M16" s="29">
        <f>IF(K16&gt;0, K16*L16, 0)</f>
        <v/>
      </c>
      <c r="N16" s="32">
        <f>IF(I16&gt;0, M16/I16, 0)</f>
        <v/>
      </c>
      <c r="O16" s="8">
        <f>IF(M16=0, "", IF(N16&lt;=0.2, "✅ An toàn", IF(N16&lt;=0.25, "⚠️ Cận trần", "❌ VƯỢT TRẦN")))</f>
        <v/>
      </c>
      <c r="P16" s="33" t="inlineStr"/>
    </row>
    <row r="17">
      <c r="A17" s="33" t="inlineStr"/>
      <c r="B17" s="33" t="inlineStr"/>
      <c r="C17" s="33" t="inlineStr"/>
      <c r="D17" s="33" t="inlineStr"/>
      <c r="E17" s="34" t="inlineStr"/>
      <c r="F17" s="34" t="inlineStr"/>
      <c r="G17" s="29">
        <f>IF(E17&gt;0, E17-F17, 0)</f>
        <v/>
      </c>
      <c r="H17" s="29">
        <f>IF(C17&gt;0, C17*E17, 0)</f>
        <v/>
      </c>
      <c r="I17" s="29">
        <f>IF(C17&gt;0, C17*G17, 0)</f>
        <v/>
      </c>
      <c r="J17" s="35" t="inlineStr"/>
      <c r="K17" s="31">
        <f>IF(AND(C17&gt;0, J17&gt;0), ROUNDUP(C17/J17, 0), 0)</f>
        <v/>
      </c>
      <c r="L17" s="34" t="inlineStr"/>
      <c r="M17" s="29">
        <f>IF(K17&gt;0, K17*L17, 0)</f>
        <v/>
      </c>
      <c r="N17" s="32">
        <f>IF(I17&gt;0, M17/I17, 0)</f>
        <v/>
      </c>
      <c r="O17" s="8">
        <f>IF(M17=0, "", IF(N17&lt;=0.2, "✅ An toàn", IF(N17&lt;=0.25, "⚠️ Cận trần", "❌ VƯỢT TRẦN")))</f>
        <v/>
      </c>
      <c r="P17" s="33" t="inlineStr"/>
    </row>
    <row r="18">
      <c r="A18" s="33" t="inlineStr"/>
      <c r="B18" s="33" t="inlineStr"/>
      <c r="C18" s="33" t="inlineStr"/>
      <c r="D18" s="33" t="inlineStr"/>
      <c r="E18" s="34" t="inlineStr"/>
      <c r="F18" s="34" t="inlineStr"/>
      <c r="G18" s="29">
        <f>IF(E18&gt;0, E18-F18, 0)</f>
        <v/>
      </c>
      <c r="H18" s="29">
        <f>IF(C18&gt;0, C18*E18, 0)</f>
        <v/>
      </c>
      <c r="I18" s="29">
        <f>IF(C18&gt;0, C18*G18, 0)</f>
        <v/>
      </c>
      <c r="J18" s="35" t="inlineStr"/>
      <c r="K18" s="31">
        <f>IF(AND(C18&gt;0, J18&gt;0), ROUNDUP(C18/J18, 0), 0)</f>
        <v/>
      </c>
      <c r="L18" s="34" t="inlineStr"/>
      <c r="M18" s="29">
        <f>IF(K18&gt;0, K18*L18, 0)</f>
        <v/>
      </c>
      <c r="N18" s="32">
        <f>IF(I18&gt;0, M18/I18, 0)</f>
        <v/>
      </c>
      <c r="O18" s="8">
        <f>IF(M18=0, "", IF(N18&lt;=0.2, "✅ An toàn", IF(N18&lt;=0.25, "⚠️ Cận trần", "❌ VƯỢT TRẦN")))</f>
        <v/>
      </c>
      <c r="P18" s="33" t="inlineStr"/>
    </row>
    <row r="19">
      <c r="A19" s="33" t="inlineStr"/>
      <c r="B19" s="33" t="inlineStr"/>
      <c r="C19" s="33" t="inlineStr"/>
      <c r="D19" s="33" t="inlineStr"/>
      <c r="E19" s="34" t="inlineStr"/>
      <c r="F19" s="34" t="inlineStr"/>
      <c r="G19" s="29">
        <f>IF(E19&gt;0, E19-F19, 0)</f>
        <v/>
      </c>
      <c r="H19" s="29">
        <f>IF(C19&gt;0, C19*E19, 0)</f>
        <v/>
      </c>
      <c r="I19" s="29">
        <f>IF(C19&gt;0, C19*G19, 0)</f>
        <v/>
      </c>
      <c r="J19" s="35" t="inlineStr"/>
      <c r="K19" s="31">
        <f>IF(AND(C19&gt;0, J19&gt;0), ROUNDUP(C19/J19, 0), 0)</f>
        <v/>
      </c>
      <c r="L19" s="34" t="inlineStr"/>
      <c r="M19" s="29">
        <f>IF(K19&gt;0, K19*L19, 0)</f>
        <v/>
      </c>
      <c r="N19" s="32">
        <f>IF(I19&gt;0, M19/I19, 0)</f>
        <v/>
      </c>
      <c r="O19" s="8">
        <f>IF(M19=0, "", IF(N19&lt;=0.2, "✅ An toàn", IF(N19&lt;=0.25, "⚠️ Cận trần", "❌ VƯỢT TRẦN")))</f>
        <v/>
      </c>
      <c r="P19" s="33" t="inlineStr"/>
    </row>
    <row r="20">
      <c r="A20" s="33" t="inlineStr"/>
      <c r="B20" s="33" t="inlineStr"/>
      <c r="C20" s="33" t="inlineStr"/>
      <c r="D20" s="33" t="inlineStr"/>
      <c r="E20" s="34" t="inlineStr"/>
      <c r="F20" s="34" t="inlineStr"/>
      <c r="G20" s="29">
        <f>IF(E20&gt;0, E20-F20, 0)</f>
        <v/>
      </c>
      <c r="H20" s="29">
        <f>IF(C20&gt;0, C20*E20, 0)</f>
        <v/>
      </c>
      <c r="I20" s="29">
        <f>IF(C20&gt;0, C20*G20, 0)</f>
        <v/>
      </c>
      <c r="J20" s="35" t="inlineStr"/>
      <c r="K20" s="31">
        <f>IF(AND(C20&gt;0, J20&gt;0), ROUNDUP(C20/J20, 0), 0)</f>
        <v/>
      </c>
      <c r="L20" s="34" t="inlineStr"/>
      <c r="M20" s="29">
        <f>IF(K20&gt;0, K20*L20, 0)</f>
        <v/>
      </c>
      <c r="N20" s="32">
        <f>IF(I20&gt;0, M20/I20, 0)</f>
        <v/>
      </c>
      <c r="O20" s="8">
        <f>IF(M20=0, "", IF(N20&lt;=0.2, "✅ An toàn", IF(N20&lt;=0.25, "⚠️ Cận trần", "❌ VƯỢT TRẦN")))</f>
        <v/>
      </c>
      <c r="P20" s="33" t="inlineStr"/>
    </row>
    <row r="21">
      <c r="A21" s="33" t="inlineStr"/>
      <c r="B21" s="33" t="inlineStr"/>
      <c r="C21" s="33" t="inlineStr"/>
      <c r="D21" s="33" t="inlineStr"/>
      <c r="E21" s="34" t="inlineStr"/>
      <c r="F21" s="34" t="inlineStr"/>
      <c r="G21" s="29">
        <f>IF(E21&gt;0, E21-F21, 0)</f>
        <v/>
      </c>
      <c r="H21" s="29">
        <f>IF(C21&gt;0, C21*E21, 0)</f>
        <v/>
      </c>
      <c r="I21" s="29">
        <f>IF(C21&gt;0, C21*G21, 0)</f>
        <v/>
      </c>
      <c r="J21" s="35" t="inlineStr"/>
      <c r="K21" s="31">
        <f>IF(AND(C21&gt;0, J21&gt;0), ROUNDUP(C21/J21, 0), 0)</f>
        <v/>
      </c>
      <c r="L21" s="34" t="inlineStr"/>
      <c r="M21" s="29">
        <f>IF(K21&gt;0, K21*L21, 0)</f>
        <v/>
      </c>
      <c r="N21" s="32">
        <f>IF(I21&gt;0, M21/I21, 0)</f>
        <v/>
      </c>
      <c r="O21" s="8">
        <f>IF(M21=0, "", IF(N21&lt;=0.2, "✅ An toàn", IF(N21&lt;=0.25, "⚠️ Cận trần", "❌ VƯỢT TRẦN")))</f>
        <v/>
      </c>
      <c r="P21" s="33" t="inlineStr"/>
    </row>
    <row r="22">
      <c r="A22" s="33" t="inlineStr"/>
      <c r="B22" s="33" t="inlineStr"/>
      <c r="C22" s="33" t="inlineStr"/>
      <c r="D22" s="33" t="inlineStr"/>
      <c r="E22" s="34" t="inlineStr"/>
      <c r="F22" s="34" t="inlineStr"/>
      <c r="G22" s="29">
        <f>IF(E22&gt;0, E22-F22, 0)</f>
        <v/>
      </c>
      <c r="H22" s="29">
        <f>IF(C22&gt;0, C22*E22, 0)</f>
        <v/>
      </c>
      <c r="I22" s="29">
        <f>IF(C22&gt;0, C22*G22, 0)</f>
        <v/>
      </c>
      <c r="J22" s="35" t="inlineStr"/>
      <c r="K22" s="31">
        <f>IF(AND(C22&gt;0, J22&gt;0), ROUNDUP(C22/J22, 0), 0)</f>
        <v/>
      </c>
      <c r="L22" s="34" t="inlineStr"/>
      <c r="M22" s="29">
        <f>IF(K22&gt;0, K22*L22, 0)</f>
        <v/>
      </c>
      <c r="N22" s="32">
        <f>IF(I22&gt;0, M22/I22, 0)</f>
        <v/>
      </c>
      <c r="O22" s="8">
        <f>IF(M22=0, "", IF(N22&lt;=0.2, "✅ An toàn", IF(N22&lt;=0.25, "⚠️ Cận trần", "❌ VƯỢT TRẦN")))</f>
        <v/>
      </c>
      <c r="P22" s="33" t="inlineStr"/>
    </row>
    <row r="23">
      <c r="A23" s="33" t="inlineStr"/>
      <c r="B23" s="33" t="inlineStr"/>
      <c r="C23" s="33" t="inlineStr"/>
      <c r="D23" s="33" t="inlineStr"/>
      <c r="E23" s="34" t="inlineStr"/>
      <c r="F23" s="34" t="inlineStr"/>
      <c r="G23" s="29">
        <f>IF(E23&gt;0, E23-F23, 0)</f>
        <v/>
      </c>
      <c r="H23" s="29">
        <f>IF(C23&gt;0, C23*E23, 0)</f>
        <v/>
      </c>
      <c r="I23" s="29">
        <f>IF(C23&gt;0, C23*G23, 0)</f>
        <v/>
      </c>
      <c r="J23" s="35" t="inlineStr"/>
      <c r="K23" s="31">
        <f>IF(AND(C23&gt;0, J23&gt;0), ROUNDUP(C23/J23, 0), 0)</f>
        <v/>
      </c>
      <c r="L23" s="34" t="inlineStr"/>
      <c r="M23" s="29">
        <f>IF(K23&gt;0, K23*L23, 0)</f>
        <v/>
      </c>
      <c r="N23" s="32">
        <f>IF(I23&gt;0, M23/I23, 0)</f>
        <v/>
      </c>
      <c r="O23" s="8">
        <f>IF(M23=0, "", IF(N23&lt;=0.2, "✅ An toàn", IF(N23&lt;=0.25, "⚠️ Cận trần", "❌ VƯỢT TRẦN")))</f>
        <v/>
      </c>
      <c r="P23" s="33" t="inlineStr"/>
    </row>
    <row r="24">
      <c r="A24" s="33" t="inlineStr"/>
      <c r="B24" s="33" t="inlineStr"/>
      <c r="C24" s="33" t="inlineStr"/>
      <c r="D24" s="33" t="inlineStr"/>
      <c r="E24" s="34" t="inlineStr"/>
      <c r="F24" s="34" t="inlineStr"/>
      <c r="G24" s="29">
        <f>IF(E24&gt;0, E24-F24, 0)</f>
        <v/>
      </c>
      <c r="H24" s="29">
        <f>IF(C24&gt;0, C24*E24, 0)</f>
        <v/>
      </c>
      <c r="I24" s="29">
        <f>IF(C24&gt;0, C24*G24, 0)</f>
        <v/>
      </c>
      <c r="J24" s="35" t="inlineStr"/>
      <c r="K24" s="31">
        <f>IF(AND(C24&gt;0, J24&gt;0), ROUNDUP(C24/J24, 0), 0)</f>
        <v/>
      </c>
      <c r="L24" s="34" t="inlineStr"/>
      <c r="M24" s="29">
        <f>IF(K24&gt;0, K24*L24, 0)</f>
        <v/>
      </c>
      <c r="N24" s="32">
        <f>IF(I24&gt;0, M24/I24, 0)</f>
        <v/>
      </c>
      <c r="O24" s="8">
        <f>IF(M24=0, "", IF(N24&lt;=0.2, "✅ An toàn", IF(N24&lt;=0.25, "⚠️ Cận trần", "❌ VƯỢT TRẦN")))</f>
        <v/>
      </c>
      <c r="P24" s="33" t="inlineStr"/>
    </row>
    <row r="25">
      <c r="A25" s="22" t="inlineStr">
        <is>
          <t>TỔNG CỘNG TOÀN BU</t>
        </is>
      </c>
      <c r="B25" s="36" t="n"/>
      <c r="C25" s="21">
        <f>SUM(C7:C24)</f>
        <v/>
      </c>
      <c r="D25" s="36" t="n"/>
      <c r="E25" s="36" t="n"/>
      <c r="F25" s="36" t="n"/>
      <c r="G25" s="36" t="n"/>
      <c r="H25" s="23">
        <f>SUM(H7:H24)</f>
        <v/>
      </c>
      <c r="I25" s="23">
        <f>SUM(I7:I24)</f>
        <v/>
      </c>
      <c r="J25" s="36" t="n"/>
      <c r="K25" s="24">
        <f>SUM(K7:K24)</f>
        <v/>
      </c>
      <c r="L25" s="36" t="n"/>
      <c r="M25" s="23">
        <f>SUM(M7:M24)</f>
        <v/>
      </c>
      <c r="N25" s="25">
        <f>IF(I25&gt;0, M25/I25, 0)</f>
        <v/>
      </c>
      <c r="O25" s="21">
        <f>IF(N25&lt;=0.22, "✅ ĐẠT CHUẨN", "⚠️ CẦN TỐI ƯU")</f>
        <v/>
      </c>
      <c r="P25" s="36" t="n"/>
    </row>
  </sheetData>
  <mergeCells count="11">
    <mergeCell ref="N4:P4"/>
    <mergeCell ref="G3:J3"/>
    <mergeCell ref="K4:M4"/>
    <mergeCell ref="A1:P2"/>
    <mergeCell ref="D4:F4"/>
    <mergeCell ref="G4:J4"/>
    <mergeCell ref="D3:F3"/>
    <mergeCell ref="A3:C3"/>
    <mergeCell ref="K3:M3"/>
    <mergeCell ref="A4:C4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14" customWidth="1" min="10" max="10"/>
    <col width="14" customWidth="1" min="11" max="11"/>
    <col width="16" customWidth="1" min="12" max="12"/>
    <col width="22" customWidth="1" min="13" max="13"/>
    <col width="15" customWidth="1" min="14" max="14"/>
    <col width="16" customWidth="1" min="15" max="15"/>
    <col width="30" customWidth="1" min="16" max="16"/>
  </cols>
  <sheetData>
    <row r="1">
      <c r="A1" s="1" t="inlineStr">
        <is>
          <t>🇱🇰 BU4: DỰ TOÁN DOANH THU, LỢI NHUẬN &amp; ADS BUDGET - TOUR NAM Á / HIMALAYA (Q4/2026)</t>
        </is>
      </c>
    </row>
    <row r="2"/>
    <row r="3">
      <c r="A3" s="12" t="inlineStr">
        <is>
          <t>DỰ TOÁN DOANH THU TOÀN BU</t>
        </is>
      </c>
      <c r="B3" s="13" t="n"/>
      <c r="C3" s="13" t="n"/>
      <c r="D3" s="12" t="inlineStr">
        <is>
          <t>TỔNG LỢI NHUẬN GỘP BU</t>
        </is>
      </c>
      <c r="E3" s="13" t="n"/>
      <c r="F3" s="13" t="n"/>
      <c r="G3" s="12" t="inlineStr">
        <is>
          <t>TỔNG NGÂN SÁCH ADS ĐỀ XUẤT</t>
        </is>
      </c>
      <c r="H3" s="13" t="n"/>
      <c r="I3" s="13" t="n"/>
      <c r="J3" s="13" t="n"/>
      <c r="K3" s="12" t="inlineStr">
        <is>
          <t>% ADS / LÃI GỘP TOÀN BU</t>
        </is>
      </c>
      <c r="L3" s="13" t="n"/>
      <c r="M3" s="13" t="n"/>
      <c r="N3" s="12" t="inlineStr">
        <is>
          <t>TRẠNG THÁI PHÊ DUYỆT BU</t>
        </is>
      </c>
      <c r="O3" s="13" t="n"/>
      <c r="P3" s="13" t="n"/>
    </row>
    <row r="4">
      <c r="A4" s="14">
        <f>SUM(H7:H30)</f>
        <v/>
      </c>
      <c r="B4" s="13" t="n"/>
      <c r="C4" s="13" t="n"/>
      <c r="D4" s="14">
        <f>SUM(I7:I30)</f>
        <v/>
      </c>
      <c r="E4" s="13" t="n"/>
      <c r="F4" s="13" t="n"/>
      <c r="G4" s="14">
        <f>SUM(M7:M30)</f>
        <v/>
      </c>
      <c r="H4" s="13" t="n"/>
      <c r="I4" s="13" t="n"/>
      <c r="J4" s="13" t="n"/>
      <c r="K4" s="15">
        <f>IF(D4&gt;0, G4/D4, 0)</f>
        <v/>
      </c>
      <c r="L4" s="13" t="n"/>
      <c r="M4" s="13" t="n"/>
      <c r="N4" s="16">
        <f>IF(K4=0, "Chưa có dữ liệu", IF(K4&lt;=0.22, "✅ ĐẠT ĐỊNH MỨC", "⚠️ CẦN TỐI ƯU LẠI"))</f>
        <v/>
      </c>
      <c r="O4" s="13" t="n"/>
      <c r="P4" s="13" t="n"/>
    </row>
    <row r="6" ht="32" customHeight="1">
      <c r="A6" s="4" t="inlineStr">
        <is>
          <t>Tên Tuyến Tour / Sản Phẩm</t>
        </is>
      </c>
      <c r="B6" s="4" t="inlineStr">
        <is>
          <t>Ngày Khởi Hành</t>
        </is>
      </c>
      <c r="C6" s="4" t="inlineStr">
        <is>
          <t>Số Khách Mục Tiêu (Pax)</t>
        </is>
      </c>
      <c r="D6" s="4" t="inlineStr">
        <is>
          <t>Số Khách Hòa Vốn</t>
        </is>
      </c>
      <c r="E6" s="4" t="inlineStr">
        <is>
          <t>Giá Bán / Khách (VND)</t>
        </is>
      </c>
      <c r="F6" s="4" t="inlineStr">
        <is>
          <t>Giá Vốn / Khách (VND)</t>
        </is>
      </c>
      <c r="G6" s="4" t="inlineStr">
        <is>
          <t>Lãi Gộp / Khách (VND)</t>
        </is>
      </c>
      <c r="H6" s="4" t="inlineStr">
        <is>
          <t>DỰ TOÁN DOANH THU (VND)</t>
        </is>
      </c>
      <c r="I6" s="4" t="inlineStr">
        <is>
          <t>DỰ TOÁN LÃI GỘP (VND)</t>
        </is>
      </c>
      <c r="J6" s="4" t="inlineStr">
        <is>
          <t>Tỷ Lệ Chốt Sale (CR%)</t>
        </is>
      </c>
      <c r="K6" s="4" t="inlineStr">
        <is>
          <t>Số Lead SĐT Cần Có</t>
        </is>
      </c>
      <c r="L6" s="4" t="inlineStr">
        <is>
          <t>Giá Lead Trần CPL (VND)</t>
        </is>
      </c>
      <c r="M6" s="4" t="inlineStr">
        <is>
          <t>DỰ TOÁN BUDGET ADS (VND)</t>
        </is>
      </c>
      <c r="N6" s="4" t="inlineStr">
        <is>
          <t>% Ads / Lãi Gộp</t>
        </is>
      </c>
      <c r="O6" s="4" t="inlineStr">
        <is>
          <t>CẢNH BÁO AN TOÀN</t>
        </is>
      </c>
      <c r="P6" s="4" t="inlineStr">
        <is>
          <t>Ghi Chú / Đề Xuất BUM</t>
        </is>
      </c>
    </row>
    <row r="7">
      <c r="A7" s="26" t="inlineStr">
        <is>
          <t>Bhutan - Miền Hạnh Phúc Mùa Thu</t>
        </is>
      </c>
      <c r="B7" s="27" t="inlineStr">
        <is>
          <t>08/11/2026</t>
        </is>
      </c>
      <c r="C7" s="27" t="n">
        <v>12</v>
      </c>
      <c r="D7" s="27" t="n">
        <v>8</v>
      </c>
      <c r="E7" s="28" t="n">
        <v>75000000</v>
      </c>
      <c r="F7" s="28" t="n">
        <v>54000000</v>
      </c>
      <c r="G7" s="29">
        <f>E7-F7</f>
        <v/>
      </c>
      <c r="H7" s="29">
        <f>C7*E7</f>
        <v/>
      </c>
      <c r="I7" s="29">
        <f>C7*G7</f>
        <v/>
      </c>
      <c r="J7" s="30" t="n">
        <v>0.07000000000000001</v>
      </c>
      <c r="K7" s="31">
        <f>IF(J7&gt;0, ROUNDUP(C7/J7, 0), 0)</f>
        <v/>
      </c>
      <c r="L7" s="28" t="n">
        <v>220000</v>
      </c>
      <c r="M7" s="29">
        <f>K7*L7</f>
        <v/>
      </c>
      <c r="N7" s="32">
        <f>IF(I7&gt;0, M7/I7, 0)</f>
        <v/>
      </c>
      <c r="O7" s="8">
        <f>IF(N7=0, "", IF(N7&lt;=0.2, "✅ An toàn", IF(N7&lt;=0.25, "⚠️ Cận trần", "❌ VƯỢT TRẦN")))</f>
        <v/>
      </c>
      <c r="P7" s="26" t="inlineStr">
        <is>
          <t>Tuyến sâu FIT Tour, khách văn hóa</t>
        </is>
      </c>
    </row>
    <row r="8">
      <c r="A8" s="26" t="inlineStr">
        <is>
          <t>Bhutan Mùa Lễ Hội Cuối Năm</t>
        </is>
      </c>
      <c r="B8" s="27" t="inlineStr">
        <is>
          <t>05/12/2026</t>
        </is>
      </c>
      <c r="C8" s="27" t="n">
        <v>12</v>
      </c>
      <c r="D8" s="27" t="n">
        <v>8</v>
      </c>
      <c r="E8" s="28" t="n">
        <v>78000000</v>
      </c>
      <c r="F8" s="28" t="n">
        <v>56000000</v>
      </c>
      <c r="G8" s="29">
        <f>E8-F8</f>
        <v/>
      </c>
      <c r="H8" s="29">
        <f>C8*E8</f>
        <v/>
      </c>
      <c r="I8" s="29">
        <f>C8*G8</f>
        <v/>
      </c>
      <c r="J8" s="30" t="n">
        <v>0.07000000000000001</v>
      </c>
      <c r="K8" s="31">
        <f>IF(J8&gt;0, ROUNDUP(C8/J8, 0), 0)</f>
        <v/>
      </c>
      <c r="L8" s="28" t="n">
        <v>220000</v>
      </c>
      <c r="M8" s="29">
        <f>K8*L8</f>
        <v/>
      </c>
      <c r="N8" s="32">
        <f>IF(I8&gt;0, M8/I8, 0)</f>
        <v/>
      </c>
      <c r="O8" s="8">
        <f>IF(N8=0, "", IF(N8&lt;=0.2, "✅ An toàn", IF(N8&lt;=0.25, "⚠️ Cận trần", "❌ VƯỢT TRẦN")))</f>
        <v/>
      </c>
      <c r="P8" s="26" t="inlineStr">
        <is>
          <t>Tham gia lễ hội Tshechu truyền thống</t>
        </is>
      </c>
    </row>
    <row r="9">
      <c r="A9" s="26" t="inlineStr">
        <is>
          <t>Sri Lanka Đảo Ngọc Trà Xanh</t>
        </is>
      </c>
      <c r="B9" s="27" t="inlineStr">
        <is>
          <t>18/11/2026</t>
        </is>
      </c>
      <c r="C9" s="27" t="n">
        <v>15</v>
      </c>
      <c r="D9" s="27" t="n">
        <v>10</v>
      </c>
      <c r="E9" s="28" t="n">
        <v>42000000</v>
      </c>
      <c r="F9" s="28" t="n">
        <v>32000000</v>
      </c>
      <c r="G9" s="29">
        <f>E9-F9</f>
        <v/>
      </c>
      <c r="H9" s="29">
        <f>C9*E9</f>
        <v/>
      </c>
      <c r="I9" s="29">
        <f>C9*G9</f>
        <v/>
      </c>
      <c r="J9" s="30" t="n">
        <v>0.07000000000000001</v>
      </c>
      <c r="K9" s="31">
        <f>IF(J9&gt;0, ROUNDUP(C9/J9, 0), 0)</f>
        <v/>
      </c>
      <c r="L9" s="28" t="n">
        <v>290000</v>
      </c>
      <c r="M9" s="29">
        <f>K9*L9</f>
        <v/>
      </c>
      <c r="N9" s="32">
        <f>IF(I9&gt;0, M9/I9, 0)</f>
        <v/>
      </c>
      <c r="O9" s="8">
        <f>IF(N9=0, "", IF(N9&lt;=0.2, "✅ An toàn", IF(N9&lt;=0.25, "⚠️ Cận trần", "❌ VƯỢT TRẦN")))</f>
        <v/>
      </c>
      <c r="P9" s="26" t="inlineStr">
        <is>
          <t>Tuyến mới mồi phễu từ T8</t>
        </is>
      </c>
    </row>
    <row r="10">
      <c r="A10" s="33" t="inlineStr"/>
      <c r="B10" s="33" t="inlineStr"/>
      <c r="C10" s="33" t="inlineStr"/>
      <c r="D10" s="33" t="inlineStr"/>
      <c r="E10" s="34" t="inlineStr"/>
      <c r="F10" s="34" t="inlineStr"/>
      <c r="G10" s="29">
        <f>IF(E10&gt;0, E10-F10, 0)</f>
        <v/>
      </c>
      <c r="H10" s="29">
        <f>IF(C10&gt;0, C10*E10, 0)</f>
        <v/>
      </c>
      <c r="I10" s="29">
        <f>IF(C10&gt;0, C10*G10, 0)</f>
        <v/>
      </c>
      <c r="J10" s="35" t="inlineStr"/>
      <c r="K10" s="31">
        <f>IF(AND(C10&gt;0, J10&gt;0), ROUNDUP(C10/J10, 0), 0)</f>
        <v/>
      </c>
      <c r="L10" s="34" t="inlineStr"/>
      <c r="M10" s="29">
        <f>IF(K10&gt;0, K10*L10, 0)</f>
        <v/>
      </c>
      <c r="N10" s="32">
        <f>IF(I10&gt;0, M10/I10, 0)</f>
        <v/>
      </c>
      <c r="O10" s="8">
        <f>IF(M10=0, "", IF(N10&lt;=0.2, "✅ An toàn", IF(N10&lt;=0.25, "⚠️ Cận trần", "❌ VƯỢT TRẦN")))</f>
        <v/>
      </c>
      <c r="P10" s="33" t="inlineStr"/>
    </row>
    <row r="11">
      <c r="A11" s="33" t="inlineStr"/>
      <c r="B11" s="33" t="inlineStr"/>
      <c r="C11" s="33" t="inlineStr"/>
      <c r="D11" s="33" t="inlineStr"/>
      <c r="E11" s="34" t="inlineStr"/>
      <c r="F11" s="34" t="inlineStr"/>
      <c r="G11" s="29">
        <f>IF(E11&gt;0, E11-F11, 0)</f>
        <v/>
      </c>
      <c r="H11" s="29">
        <f>IF(C11&gt;0, C11*E11, 0)</f>
        <v/>
      </c>
      <c r="I11" s="29">
        <f>IF(C11&gt;0, C11*G11, 0)</f>
        <v/>
      </c>
      <c r="J11" s="35" t="inlineStr"/>
      <c r="K11" s="31">
        <f>IF(AND(C11&gt;0, J11&gt;0), ROUNDUP(C11/J11, 0), 0)</f>
        <v/>
      </c>
      <c r="L11" s="34" t="inlineStr"/>
      <c r="M11" s="29">
        <f>IF(K11&gt;0, K11*L11, 0)</f>
        <v/>
      </c>
      <c r="N11" s="32">
        <f>IF(I11&gt;0, M11/I11, 0)</f>
        <v/>
      </c>
      <c r="O11" s="8">
        <f>IF(M11=0, "", IF(N11&lt;=0.2, "✅ An toàn", IF(N11&lt;=0.25, "⚠️ Cận trần", "❌ VƯỢT TRẦN")))</f>
        <v/>
      </c>
      <c r="P11" s="33" t="inlineStr"/>
    </row>
    <row r="12">
      <c r="A12" s="33" t="inlineStr"/>
      <c r="B12" s="33" t="inlineStr"/>
      <c r="C12" s="33" t="inlineStr"/>
      <c r="D12" s="33" t="inlineStr"/>
      <c r="E12" s="34" t="inlineStr"/>
      <c r="F12" s="34" t="inlineStr"/>
      <c r="G12" s="29">
        <f>IF(E12&gt;0, E12-F12, 0)</f>
        <v/>
      </c>
      <c r="H12" s="29">
        <f>IF(C12&gt;0, C12*E12, 0)</f>
        <v/>
      </c>
      <c r="I12" s="29">
        <f>IF(C12&gt;0, C12*G12, 0)</f>
        <v/>
      </c>
      <c r="J12" s="35" t="inlineStr"/>
      <c r="K12" s="31">
        <f>IF(AND(C12&gt;0, J12&gt;0), ROUNDUP(C12/J12, 0), 0)</f>
        <v/>
      </c>
      <c r="L12" s="34" t="inlineStr"/>
      <c r="M12" s="29">
        <f>IF(K12&gt;0, K12*L12, 0)</f>
        <v/>
      </c>
      <c r="N12" s="32">
        <f>IF(I12&gt;0, M12/I12, 0)</f>
        <v/>
      </c>
      <c r="O12" s="8">
        <f>IF(M12=0, "", IF(N12&lt;=0.2, "✅ An toàn", IF(N12&lt;=0.25, "⚠️ Cận trần", "❌ VƯỢT TRẦN")))</f>
        <v/>
      </c>
      <c r="P12" s="33" t="inlineStr"/>
    </row>
    <row r="13">
      <c r="A13" s="33" t="inlineStr"/>
      <c r="B13" s="33" t="inlineStr"/>
      <c r="C13" s="33" t="inlineStr"/>
      <c r="D13" s="33" t="inlineStr"/>
      <c r="E13" s="34" t="inlineStr"/>
      <c r="F13" s="34" t="inlineStr"/>
      <c r="G13" s="29">
        <f>IF(E13&gt;0, E13-F13, 0)</f>
        <v/>
      </c>
      <c r="H13" s="29">
        <f>IF(C13&gt;0, C13*E13, 0)</f>
        <v/>
      </c>
      <c r="I13" s="29">
        <f>IF(C13&gt;0, C13*G13, 0)</f>
        <v/>
      </c>
      <c r="J13" s="35" t="inlineStr"/>
      <c r="K13" s="31">
        <f>IF(AND(C13&gt;0, J13&gt;0), ROUNDUP(C13/J13, 0), 0)</f>
        <v/>
      </c>
      <c r="L13" s="34" t="inlineStr"/>
      <c r="M13" s="29">
        <f>IF(K13&gt;0, K13*L13, 0)</f>
        <v/>
      </c>
      <c r="N13" s="32">
        <f>IF(I13&gt;0, M13/I13, 0)</f>
        <v/>
      </c>
      <c r="O13" s="8">
        <f>IF(M13=0, "", IF(N13&lt;=0.2, "✅ An toàn", IF(N13&lt;=0.25, "⚠️ Cận trần", "❌ VƯỢT TRẦN")))</f>
        <v/>
      </c>
      <c r="P13" s="33" t="inlineStr"/>
    </row>
    <row r="14">
      <c r="A14" s="33" t="inlineStr"/>
      <c r="B14" s="33" t="inlineStr"/>
      <c r="C14" s="33" t="inlineStr"/>
      <c r="D14" s="33" t="inlineStr"/>
      <c r="E14" s="34" t="inlineStr"/>
      <c r="F14" s="34" t="inlineStr"/>
      <c r="G14" s="29">
        <f>IF(E14&gt;0, E14-F14, 0)</f>
        <v/>
      </c>
      <c r="H14" s="29">
        <f>IF(C14&gt;0, C14*E14, 0)</f>
        <v/>
      </c>
      <c r="I14" s="29">
        <f>IF(C14&gt;0, C14*G14, 0)</f>
        <v/>
      </c>
      <c r="J14" s="35" t="inlineStr"/>
      <c r="K14" s="31">
        <f>IF(AND(C14&gt;0, J14&gt;0), ROUNDUP(C14/J14, 0), 0)</f>
        <v/>
      </c>
      <c r="L14" s="34" t="inlineStr"/>
      <c r="M14" s="29">
        <f>IF(K14&gt;0, K14*L14, 0)</f>
        <v/>
      </c>
      <c r="N14" s="32">
        <f>IF(I14&gt;0, M14/I14, 0)</f>
        <v/>
      </c>
      <c r="O14" s="8">
        <f>IF(M14=0, "", IF(N14&lt;=0.2, "✅ An toàn", IF(N14&lt;=0.25, "⚠️ Cận trần", "❌ VƯỢT TRẦN")))</f>
        <v/>
      </c>
      <c r="P14" s="33" t="inlineStr"/>
    </row>
    <row r="15">
      <c r="A15" s="33" t="inlineStr"/>
      <c r="B15" s="33" t="inlineStr"/>
      <c r="C15" s="33" t="inlineStr"/>
      <c r="D15" s="33" t="inlineStr"/>
      <c r="E15" s="34" t="inlineStr"/>
      <c r="F15" s="34" t="inlineStr"/>
      <c r="G15" s="29">
        <f>IF(E15&gt;0, E15-F15, 0)</f>
        <v/>
      </c>
      <c r="H15" s="29">
        <f>IF(C15&gt;0, C15*E15, 0)</f>
        <v/>
      </c>
      <c r="I15" s="29">
        <f>IF(C15&gt;0, C15*G15, 0)</f>
        <v/>
      </c>
      <c r="J15" s="35" t="inlineStr"/>
      <c r="K15" s="31">
        <f>IF(AND(C15&gt;0, J15&gt;0), ROUNDUP(C15/J15, 0), 0)</f>
        <v/>
      </c>
      <c r="L15" s="34" t="inlineStr"/>
      <c r="M15" s="29">
        <f>IF(K15&gt;0, K15*L15, 0)</f>
        <v/>
      </c>
      <c r="N15" s="32">
        <f>IF(I15&gt;0, M15/I15, 0)</f>
        <v/>
      </c>
      <c r="O15" s="8">
        <f>IF(M15=0, "", IF(N15&lt;=0.2, "✅ An toàn", IF(N15&lt;=0.25, "⚠️ Cận trần", "❌ VƯỢT TRẦN")))</f>
        <v/>
      </c>
      <c r="P15" s="33" t="inlineStr"/>
    </row>
    <row r="16">
      <c r="A16" s="33" t="inlineStr"/>
      <c r="B16" s="33" t="inlineStr"/>
      <c r="C16" s="33" t="inlineStr"/>
      <c r="D16" s="33" t="inlineStr"/>
      <c r="E16" s="34" t="inlineStr"/>
      <c r="F16" s="34" t="inlineStr"/>
      <c r="G16" s="29">
        <f>IF(E16&gt;0, E16-F16, 0)</f>
        <v/>
      </c>
      <c r="H16" s="29">
        <f>IF(C16&gt;0, C16*E16, 0)</f>
        <v/>
      </c>
      <c r="I16" s="29">
        <f>IF(C16&gt;0, C16*G16, 0)</f>
        <v/>
      </c>
      <c r="J16" s="35" t="inlineStr"/>
      <c r="K16" s="31">
        <f>IF(AND(C16&gt;0, J16&gt;0), ROUNDUP(C16/J16, 0), 0)</f>
        <v/>
      </c>
      <c r="L16" s="34" t="inlineStr"/>
      <c r="M16" s="29">
        <f>IF(K16&gt;0, K16*L16, 0)</f>
        <v/>
      </c>
      <c r="N16" s="32">
        <f>IF(I16&gt;0, M16/I16, 0)</f>
        <v/>
      </c>
      <c r="O16" s="8">
        <f>IF(M16=0, "", IF(N16&lt;=0.2, "✅ An toàn", IF(N16&lt;=0.25, "⚠️ Cận trần", "❌ VƯỢT TRẦN")))</f>
        <v/>
      </c>
      <c r="P16" s="33" t="inlineStr"/>
    </row>
    <row r="17">
      <c r="A17" s="33" t="inlineStr"/>
      <c r="B17" s="33" t="inlineStr"/>
      <c r="C17" s="33" t="inlineStr"/>
      <c r="D17" s="33" t="inlineStr"/>
      <c r="E17" s="34" t="inlineStr"/>
      <c r="F17" s="34" t="inlineStr"/>
      <c r="G17" s="29">
        <f>IF(E17&gt;0, E17-F17, 0)</f>
        <v/>
      </c>
      <c r="H17" s="29">
        <f>IF(C17&gt;0, C17*E17, 0)</f>
        <v/>
      </c>
      <c r="I17" s="29">
        <f>IF(C17&gt;0, C17*G17, 0)</f>
        <v/>
      </c>
      <c r="J17" s="35" t="inlineStr"/>
      <c r="K17" s="31">
        <f>IF(AND(C17&gt;0, J17&gt;0), ROUNDUP(C17/J17, 0), 0)</f>
        <v/>
      </c>
      <c r="L17" s="34" t="inlineStr"/>
      <c r="M17" s="29">
        <f>IF(K17&gt;0, K17*L17, 0)</f>
        <v/>
      </c>
      <c r="N17" s="32">
        <f>IF(I17&gt;0, M17/I17, 0)</f>
        <v/>
      </c>
      <c r="O17" s="8">
        <f>IF(M17=0, "", IF(N17&lt;=0.2, "✅ An toàn", IF(N17&lt;=0.25, "⚠️ Cận trần", "❌ VƯỢT TRẦN")))</f>
        <v/>
      </c>
      <c r="P17" s="33" t="inlineStr"/>
    </row>
    <row r="18">
      <c r="A18" s="33" t="inlineStr"/>
      <c r="B18" s="33" t="inlineStr"/>
      <c r="C18" s="33" t="inlineStr"/>
      <c r="D18" s="33" t="inlineStr"/>
      <c r="E18" s="34" t="inlineStr"/>
      <c r="F18" s="34" t="inlineStr"/>
      <c r="G18" s="29">
        <f>IF(E18&gt;0, E18-F18, 0)</f>
        <v/>
      </c>
      <c r="H18" s="29">
        <f>IF(C18&gt;0, C18*E18, 0)</f>
        <v/>
      </c>
      <c r="I18" s="29">
        <f>IF(C18&gt;0, C18*G18, 0)</f>
        <v/>
      </c>
      <c r="J18" s="35" t="inlineStr"/>
      <c r="K18" s="31">
        <f>IF(AND(C18&gt;0, J18&gt;0), ROUNDUP(C18/J18, 0), 0)</f>
        <v/>
      </c>
      <c r="L18" s="34" t="inlineStr"/>
      <c r="M18" s="29">
        <f>IF(K18&gt;0, K18*L18, 0)</f>
        <v/>
      </c>
      <c r="N18" s="32">
        <f>IF(I18&gt;0, M18/I18, 0)</f>
        <v/>
      </c>
      <c r="O18" s="8">
        <f>IF(M18=0, "", IF(N18&lt;=0.2, "✅ An toàn", IF(N18&lt;=0.25, "⚠️ Cận trần", "❌ VƯỢT TRẦN")))</f>
        <v/>
      </c>
      <c r="P18" s="33" t="inlineStr"/>
    </row>
    <row r="19">
      <c r="A19" s="33" t="inlineStr"/>
      <c r="B19" s="33" t="inlineStr"/>
      <c r="C19" s="33" t="inlineStr"/>
      <c r="D19" s="33" t="inlineStr"/>
      <c r="E19" s="34" t="inlineStr"/>
      <c r="F19" s="34" t="inlineStr"/>
      <c r="G19" s="29">
        <f>IF(E19&gt;0, E19-F19, 0)</f>
        <v/>
      </c>
      <c r="H19" s="29">
        <f>IF(C19&gt;0, C19*E19, 0)</f>
        <v/>
      </c>
      <c r="I19" s="29">
        <f>IF(C19&gt;0, C19*G19, 0)</f>
        <v/>
      </c>
      <c r="J19" s="35" t="inlineStr"/>
      <c r="K19" s="31">
        <f>IF(AND(C19&gt;0, J19&gt;0), ROUNDUP(C19/J19, 0), 0)</f>
        <v/>
      </c>
      <c r="L19" s="34" t="inlineStr"/>
      <c r="M19" s="29">
        <f>IF(K19&gt;0, K19*L19, 0)</f>
        <v/>
      </c>
      <c r="N19" s="32">
        <f>IF(I19&gt;0, M19/I19, 0)</f>
        <v/>
      </c>
      <c r="O19" s="8">
        <f>IF(M19=0, "", IF(N19&lt;=0.2, "✅ An toàn", IF(N19&lt;=0.25, "⚠️ Cận trần", "❌ VƯỢT TRẦN")))</f>
        <v/>
      </c>
      <c r="P19" s="33" t="inlineStr"/>
    </row>
    <row r="20">
      <c r="A20" s="33" t="inlineStr"/>
      <c r="B20" s="33" t="inlineStr"/>
      <c r="C20" s="33" t="inlineStr"/>
      <c r="D20" s="33" t="inlineStr"/>
      <c r="E20" s="34" t="inlineStr"/>
      <c r="F20" s="34" t="inlineStr"/>
      <c r="G20" s="29">
        <f>IF(E20&gt;0, E20-F20, 0)</f>
        <v/>
      </c>
      <c r="H20" s="29">
        <f>IF(C20&gt;0, C20*E20, 0)</f>
        <v/>
      </c>
      <c r="I20" s="29">
        <f>IF(C20&gt;0, C20*G20, 0)</f>
        <v/>
      </c>
      <c r="J20" s="35" t="inlineStr"/>
      <c r="K20" s="31">
        <f>IF(AND(C20&gt;0, J20&gt;0), ROUNDUP(C20/J20, 0), 0)</f>
        <v/>
      </c>
      <c r="L20" s="34" t="inlineStr"/>
      <c r="M20" s="29">
        <f>IF(K20&gt;0, K20*L20, 0)</f>
        <v/>
      </c>
      <c r="N20" s="32">
        <f>IF(I20&gt;0, M20/I20, 0)</f>
        <v/>
      </c>
      <c r="O20" s="8">
        <f>IF(M20=0, "", IF(N20&lt;=0.2, "✅ An toàn", IF(N20&lt;=0.25, "⚠️ Cận trần", "❌ VƯỢT TRẦN")))</f>
        <v/>
      </c>
      <c r="P20" s="33" t="inlineStr"/>
    </row>
    <row r="21">
      <c r="A21" s="33" t="inlineStr"/>
      <c r="B21" s="33" t="inlineStr"/>
      <c r="C21" s="33" t="inlineStr"/>
      <c r="D21" s="33" t="inlineStr"/>
      <c r="E21" s="34" t="inlineStr"/>
      <c r="F21" s="34" t="inlineStr"/>
      <c r="G21" s="29">
        <f>IF(E21&gt;0, E21-F21, 0)</f>
        <v/>
      </c>
      <c r="H21" s="29">
        <f>IF(C21&gt;0, C21*E21, 0)</f>
        <v/>
      </c>
      <c r="I21" s="29">
        <f>IF(C21&gt;0, C21*G21, 0)</f>
        <v/>
      </c>
      <c r="J21" s="35" t="inlineStr"/>
      <c r="K21" s="31">
        <f>IF(AND(C21&gt;0, J21&gt;0), ROUNDUP(C21/J21, 0), 0)</f>
        <v/>
      </c>
      <c r="L21" s="34" t="inlineStr"/>
      <c r="M21" s="29">
        <f>IF(K21&gt;0, K21*L21, 0)</f>
        <v/>
      </c>
      <c r="N21" s="32">
        <f>IF(I21&gt;0, M21/I21, 0)</f>
        <v/>
      </c>
      <c r="O21" s="8">
        <f>IF(M21=0, "", IF(N21&lt;=0.2, "✅ An toàn", IF(N21&lt;=0.25, "⚠️ Cận trần", "❌ VƯỢT TRẦN")))</f>
        <v/>
      </c>
      <c r="P21" s="33" t="inlineStr"/>
    </row>
    <row r="22">
      <c r="A22" s="33" t="inlineStr"/>
      <c r="B22" s="33" t="inlineStr"/>
      <c r="C22" s="33" t="inlineStr"/>
      <c r="D22" s="33" t="inlineStr"/>
      <c r="E22" s="34" t="inlineStr"/>
      <c r="F22" s="34" t="inlineStr"/>
      <c r="G22" s="29">
        <f>IF(E22&gt;0, E22-F22, 0)</f>
        <v/>
      </c>
      <c r="H22" s="29">
        <f>IF(C22&gt;0, C22*E22, 0)</f>
        <v/>
      </c>
      <c r="I22" s="29">
        <f>IF(C22&gt;0, C22*G22, 0)</f>
        <v/>
      </c>
      <c r="J22" s="35" t="inlineStr"/>
      <c r="K22" s="31">
        <f>IF(AND(C22&gt;0, J22&gt;0), ROUNDUP(C22/J22, 0), 0)</f>
        <v/>
      </c>
      <c r="L22" s="34" t="inlineStr"/>
      <c r="M22" s="29">
        <f>IF(K22&gt;0, K22*L22, 0)</f>
        <v/>
      </c>
      <c r="N22" s="32">
        <f>IF(I22&gt;0, M22/I22, 0)</f>
        <v/>
      </c>
      <c r="O22" s="8">
        <f>IF(M22=0, "", IF(N22&lt;=0.2, "✅ An toàn", IF(N22&lt;=0.25, "⚠️ Cận trần", "❌ VƯỢT TRẦN")))</f>
        <v/>
      </c>
      <c r="P22" s="33" t="inlineStr"/>
    </row>
    <row r="23">
      <c r="A23" s="33" t="inlineStr"/>
      <c r="B23" s="33" t="inlineStr"/>
      <c r="C23" s="33" t="inlineStr"/>
      <c r="D23" s="33" t="inlineStr"/>
      <c r="E23" s="34" t="inlineStr"/>
      <c r="F23" s="34" t="inlineStr"/>
      <c r="G23" s="29">
        <f>IF(E23&gt;0, E23-F23, 0)</f>
        <v/>
      </c>
      <c r="H23" s="29">
        <f>IF(C23&gt;0, C23*E23, 0)</f>
        <v/>
      </c>
      <c r="I23" s="29">
        <f>IF(C23&gt;0, C23*G23, 0)</f>
        <v/>
      </c>
      <c r="J23" s="35" t="inlineStr"/>
      <c r="K23" s="31">
        <f>IF(AND(C23&gt;0, J23&gt;0), ROUNDUP(C23/J23, 0), 0)</f>
        <v/>
      </c>
      <c r="L23" s="34" t="inlineStr"/>
      <c r="M23" s="29">
        <f>IF(K23&gt;0, K23*L23, 0)</f>
        <v/>
      </c>
      <c r="N23" s="32">
        <f>IF(I23&gt;0, M23/I23, 0)</f>
        <v/>
      </c>
      <c r="O23" s="8">
        <f>IF(M23=0, "", IF(N23&lt;=0.2, "✅ An toàn", IF(N23&lt;=0.25, "⚠️ Cận trần", "❌ VƯỢT TRẦN")))</f>
        <v/>
      </c>
      <c r="P23" s="33" t="inlineStr"/>
    </row>
    <row r="24">
      <c r="A24" s="33" t="inlineStr"/>
      <c r="B24" s="33" t="inlineStr"/>
      <c r="C24" s="33" t="inlineStr"/>
      <c r="D24" s="33" t="inlineStr"/>
      <c r="E24" s="34" t="inlineStr"/>
      <c r="F24" s="34" t="inlineStr"/>
      <c r="G24" s="29">
        <f>IF(E24&gt;0, E24-F24, 0)</f>
        <v/>
      </c>
      <c r="H24" s="29">
        <f>IF(C24&gt;0, C24*E24, 0)</f>
        <v/>
      </c>
      <c r="I24" s="29">
        <f>IF(C24&gt;0, C24*G24, 0)</f>
        <v/>
      </c>
      <c r="J24" s="35" t="inlineStr"/>
      <c r="K24" s="31">
        <f>IF(AND(C24&gt;0, J24&gt;0), ROUNDUP(C24/J24, 0), 0)</f>
        <v/>
      </c>
      <c r="L24" s="34" t="inlineStr"/>
      <c r="M24" s="29">
        <f>IF(K24&gt;0, K24*L24, 0)</f>
        <v/>
      </c>
      <c r="N24" s="32">
        <f>IF(I24&gt;0, M24/I24, 0)</f>
        <v/>
      </c>
      <c r="O24" s="8">
        <f>IF(M24=0, "", IF(N24&lt;=0.2, "✅ An toàn", IF(N24&lt;=0.25, "⚠️ Cận trần", "❌ VƯỢT TRẦN")))</f>
        <v/>
      </c>
      <c r="P24" s="33" t="inlineStr"/>
    </row>
    <row r="25">
      <c r="A25" s="22" t="inlineStr">
        <is>
          <t>TỔNG CỘNG TOÀN BU</t>
        </is>
      </c>
      <c r="B25" s="36" t="n"/>
      <c r="C25" s="21">
        <f>SUM(C7:C24)</f>
        <v/>
      </c>
      <c r="D25" s="36" t="n"/>
      <c r="E25" s="36" t="n"/>
      <c r="F25" s="36" t="n"/>
      <c r="G25" s="36" t="n"/>
      <c r="H25" s="23">
        <f>SUM(H7:H24)</f>
        <v/>
      </c>
      <c r="I25" s="23">
        <f>SUM(I7:I24)</f>
        <v/>
      </c>
      <c r="J25" s="36" t="n"/>
      <c r="K25" s="24">
        <f>SUM(K7:K24)</f>
        <v/>
      </c>
      <c r="L25" s="36" t="n"/>
      <c r="M25" s="23">
        <f>SUM(M7:M24)</f>
        <v/>
      </c>
      <c r="N25" s="25">
        <f>IF(I25&gt;0, M25/I25, 0)</f>
        <v/>
      </c>
      <c r="O25" s="21">
        <f>IF(N25&lt;=0.22, "✅ ĐẠT CHUẨN", "⚠️ CẦN TỐI ƯU")</f>
        <v/>
      </c>
      <c r="P25" s="36" t="n"/>
    </row>
  </sheetData>
  <mergeCells count="11">
    <mergeCell ref="N4:P4"/>
    <mergeCell ref="G3:J3"/>
    <mergeCell ref="K4:M4"/>
    <mergeCell ref="A1:P2"/>
    <mergeCell ref="D4:F4"/>
    <mergeCell ref="G4:J4"/>
    <mergeCell ref="D3:F3"/>
    <mergeCell ref="A3:C3"/>
    <mergeCell ref="K3:M3"/>
    <mergeCell ref="A4:C4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width="14" customWidth="1" min="10" max="10"/>
    <col width="14" customWidth="1" min="11" max="11"/>
    <col width="16" customWidth="1" min="12" max="12"/>
    <col width="22" customWidth="1" min="13" max="13"/>
    <col width="15" customWidth="1" min="14" max="14"/>
    <col width="16" customWidth="1" min="15" max="15"/>
    <col width="30" customWidth="1" min="16" max="16"/>
  </cols>
  <sheetData>
    <row r="1">
      <c r="A1" s="1" t="inlineStr">
        <is>
          <t>🇲🇦 BU5: DỰ TOÁN DOANH THU, LỢI NHUẬN &amp; ADS BUDGET - TUYẾN ĐỘC LẠ (Q4/2026)</t>
        </is>
      </c>
    </row>
    <row r="2"/>
    <row r="3">
      <c r="A3" s="12" t="inlineStr">
        <is>
          <t>DỰ TOÁN DOANH THU TOÀN BU</t>
        </is>
      </c>
      <c r="B3" s="13" t="n"/>
      <c r="C3" s="13" t="n"/>
      <c r="D3" s="12" t="inlineStr">
        <is>
          <t>TỔNG LỢI NHUẬN GỘP BU</t>
        </is>
      </c>
      <c r="E3" s="13" t="n"/>
      <c r="F3" s="13" t="n"/>
      <c r="G3" s="12" t="inlineStr">
        <is>
          <t>TỔNG NGÂN SÁCH ADS ĐỀ XUẤT</t>
        </is>
      </c>
      <c r="H3" s="13" t="n"/>
      <c r="I3" s="13" t="n"/>
      <c r="J3" s="13" t="n"/>
      <c r="K3" s="12" t="inlineStr">
        <is>
          <t>% ADS / LÃI GỘP TOÀN BU</t>
        </is>
      </c>
      <c r="L3" s="13" t="n"/>
      <c r="M3" s="13" t="n"/>
      <c r="N3" s="12" t="inlineStr">
        <is>
          <t>TRẠNG THÁI PHÊ DUYỆT BU</t>
        </is>
      </c>
      <c r="O3" s="13" t="n"/>
      <c r="P3" s="13" t="n"/>
    </row>
    <row r="4">
      <c r="A4" s="14">
        <f>SUM(H7:H30)</f>
        <v/>
      </c>
      <c r="B4" s="13" t="n"/>
      <c r="C4" s="13" t="n"/>
      <c r="D4" s="14">
        <f>SUM(I7:I30)</f>
        <v/>
      </c>
      <c r="E4" s="13" t="n"/>
      <c r="F4" s="13" t="n"/>
      <c r="G4" s="14">
        <f>SUM(M7:M30)</f>
        <v/>
      </c>
      <c r="H4" s="13" t="n"/>
      <c r="I4" s="13" t="n"/>
      <c r="J4" s="13" t="n"/>
      <c r="K4" s="15">
        <f>IF(D4&gt;0, G4/D4, 0)</f>
        <v/>
      </c>
      <c r="L4" s="13" t="n"/>
      <c r="M4" s="13" t="n"/>
      <c r="N4" s="16">
        <f>IF(K4=0, "Chưa có dữ liệu", IF(K4&lt;=0.22, "✅ ĐẠT ĐỊNH MỨC", "⚠️ CẦN TỐI ƯU LẠI"))</f>
        <v/>
      </c>
      <c r="O4" s="13" t="n"/>
      <c r="P4" s="13" t="n"/>
    </row>
    <row r="6" ht="32" customHeight="1">
      <c r="A6" s="4" t="inlineStr">
        <is>
          <t>Tên Tuyến Tour / Sản Phẩm</t>
        </is>
      </c>
      <c r="B6" s="4" t="inlineStr">
        <is>
          <t>Ngày Khởi Hành</t>
        </is>
      </c>
      <c r="C6" s="4" t="inlineStr">
        <is>
          <t>Số Khách Mục Tiêu (Pax)</t>
        </is>
      </c>
      <c r="D6" s="4" t="inlineStr">
        <is>
          <t>Số Khách Hòa Vốn</t>
        </is>
      </c>
      <c r="E6" s="4" t="inlineStr">
        <is>
          <t>Giá Bán / Khách (VND)</t>
        </is>
      </c>
      <c r="F6" s="4" t="inlineStr">
        <is>
          <t>Giá Vốn / Khách (VND)</t>
        </is>
      </c>
      <c r="G6" s="4" t="inlineStr">
        <is>
          <t>Lãi Gộp / Khách (VND)</t>
        </is>
      </c>
      <c r="H6" s="4" t="inlineStr">
        <is>
          <t>DỰ TOÁN DOANH THU (VND)</t>
        </is>
      </c>
      <c r="I6" s="4" t="inlineStr">
        <is>
          <t>DỰ TOÁN LÃI GỘP (VND)</t>
        </is>
      </c>
      <c r="J6" s="4" t="inlineStr">
        <is>
          <t>Tỷ Lệ Chốt Sale (CR%)</t>
        </is>
      </c>
      <c r="K6" s="4" t="inlineStr">
        <is>
          <t>Số Lead SĐT Cần Có</t>
        </is>
      </c>
      <c r="L6" s="4" t="inlineStr">
        <is>
          <t>Giá Lead Trần CPL (VND)</t>
        </is>
      </c>
      <c r="M6" s="4" t="inlineStr">
        <is>
          <t>DỰ TOÁN BUDGET ADS (VND)</t>
        </is>
      </c>
      <c r="N6" s="4" t="inlineStr">
        <is>
          <t>% Ads / Lãi Gộp</t>
        </is>
      </c>
      <c r="O6" s="4" t="inlineStr">
        <is>
          <t>CẢNH BÁO AN TOÀN</t>
        </is>
      </c>
      <c r="P6" s="4" t="inlineStr">
        <is>
          <t>Ghi Chú / Đề Xuất BUM</t>
        </is>
      </c>
    </row>
    <row r="7">
      <c r="A7" s="26" t="inlineStr">
        <is>
          <t>Ai Cập Huyền Bí - Du Thuyền Sông Nile</t>
        </is>
      </c>
      <c r="B7" s="27" t="inlineStr">
        <is>
          <t>15/11/2026</t>
        </is>
      </c>
      <c r="C7" s="27" t="n">
        <v>15</v>
      </c>
      <c r="D7" s="27" t="n">
        <v>10</v>
      </c>
      <c r="E7" s="28" t="n">
        <v>85000000</v>
      </c>
      <c r="F7" s="28" t="n">
        <v>67000000</v>
      </c>
      <c r="G7" s="29">
        <f>E7-F7</f>
        <v/>
      </c>
      <c r="H7" s="29">
        <f>C7*E7</f>
        <v/>
      </c>
      <c r="I7" s="29">
        <f>C7*G7</f>
        <v/>
      </c>
      <c r="J7" s="30" t="n">
        <v>0.08</v>
      </c>
      <c r="K7" s="31">
        <f>IF(J7&gt;0, ROUNDUP(C7/J7, 0), 0)</f>
        <v/>
      </c>
      <c r="L7" s="28" t="n">
        <v>280000</v>
      </c>
      <c r="M7" s="29">
        <f>K7*L7</f>
        <v/>
      </c>
      <c r="N7" s="32">
        <f>IF(I7&gt;0, M7/I7, 0)</f>
        <v/>
      </c>
      <c r="O7" s="8">
        <f>IF(N7=0, "", IF(N7&lt;=0.2, "✅ An toàn", IF(N7&lt;=0.25, "⚠️ Cận trần", "❌ VƯỢT TRẦN")))</f>
        <v/>
      </c>
      <c r="P7" s="26" t="inlineStr">
        <is>
          <t>Mùa đẹp nhất Ai Cập, khách hỏi đông</t>
        </is>
      </c>
    </row>
    <row r="8">
      <c r="A8" s="26" t="inlineStr">
        <is>
          <t>Ai Cập Đoàn Giáng Sinh</t>
        </is>
      </c>
      <c r="B8" s="27" t="inlineStr">
        <is>
          <t>20/12/2026</t>
        </is>
      </c>
      <c r="C8" s="27" t="n">
        <v>15</v>
      </c>
      <c r="D8" s="27" t="n">
        <v>10</v>
      </c>
      <c r="E8" s="28" t="n">
        <v>88000000</v>
      </c>
      <c r="F8" s="28" t="n">
        <v>69000000</v>
      </c>
      <c r="G8" s="29">
        <f>E8-F8</f>
        <v/>
      </c>
      <c r="H8" s="29">
        <f>C8*E8</f>
        <v/>
      </c>
      <c r="I8" s="29">
        <f>C8*G8</f>
        <v/>
      </c>
      <c r="J8" s="30" t="n">
        <v>0.08</v>
      </c>
      <c r="K8" s="31">
        <f>IF(J8&gt;0, ROUNDUP(C8/J8, 0), 0)</f>
        <v/>
      </c>
      <c r="L8" s="28" t="n">
        <v>280000</v>
      </c>
      <c r="M8" s="29">
        <f>K8*L8</f>
        <v/>
      </c>
      <c r="N8" s="32">
        <f>IF(I8&gt;0, M8/I8, 0)</f>
        <v/>
      </c>
      <c r="O8" s="8">
        <f>IF(N8=0, "", IF(N8&lt;=0.2, "✅ An toàn", IF(N8&lt;=0.25, "⚠️ Cận trần", "❌ VƯỢT TRẦN")))</f>
        <v/>
      </c>
      <c r="P8" s="26" t="inlineStr">
        <is>
          <t>Đoàn Noel đón năm mới</t>
        </is>
      </c>
    </row>
    <row r="9">
      <c r="A9" s="26" t="inlineStr">
        <is>
          <t>Ma Rốc - Sa Mạc Sahara &amp; Thành Phố Xanh</t>
        </is>
      </c>
      <c r="B9" s="27" t="inlineStr">
        <is>
          <t>10/11/2026</t>
        </is>
      </c>
      <c r="C9" s="27" t="n">
        <v>14</v>
      </c>
      <c r="D9" s="27" t="n">
        <v>10</v>
      </c>
      <c r="E9" s="28" t="n">
        <v>79000000</v>
      </c>
      <c r="F9" s="28" t="n">
        <v>62000000</v>
      </c>
      <c r="G9" s="29">
        <f>E9-F9</f>
        <v/>
      </c>
      <c r="H9" s="29">
        <f>C9*E9</f>
        <v/>
      </c>
      <c r="I9" s="29">
        <f>C9*G9</f>
        <v/>
      </c>
      <c r="J9" s="30" t="n">
        <v>0.07000000000000001</v>
      </c>
      <c r="K9" s="31">
        <f>IF(J9&gt;0, ROUNDUP(C9/J9, 0), 0)</f>
        <v/>
      </c>
      <c r="L9" s="28" t="n">
        <v>300000</v>
      </c>
      <c r="M9" s="29">
        <f>K9*L9</f>
        <v/>
      </c>
      <c r="N9" s="32">
        <f>IF(I9&gt;0, M9/I9, 0)</f>
        <v/>
      </c>
      <c r="O9" s="8">
        <f>IF(N9=0, "", IF(N9&lt;=0.2, "✅ An toàn", IF(N9&lt;=0.25, "⚠️ Cận trần", "❌ VƯỢT TRẦN")))</f>
        <v/>
      </c>
      <c r="P9" s="26" t="inlineStr">
        <is>
          <t>Thời tiết mát mẻ mùa thu đông</t>
        </is>
      </c>
    </row>
    <row r="10">
      <c r="A10" s="26" t="inlineStr">
        <is>
          <t>Pakistan - Mùa Thu Vàng Hunza</t>
        </is>
      </c>
      <c r="B10" s="27" t="inlineStr">
        <is>
          <t>22/10/2026</t>
        </is>
      </c>
      <c r="C10" s="27" t="n">
        <v>14</v>
      </c>
      <c r="D10" s="27" t="n">
        <v>10</v>
      </c>
      <c r="E10" s="28" t="n">
        <v>68000000</v>
      </c>
      <c r="F10" s="28" t="n">
        <v>52000000</v>
      </c>
      <c r="G10" s="29">
        <f>E10-F10</f>
        <v/>
      </c>
      <c r="H10" s="29">
        <f>C10*E10</f>
        <v/>
      </c>
      <c r="I10" s="29">
        <f>C10*G10</f>
        <v/>
      </c>
      <c r="J10" s="30" t="n">
        <v>0.09</v>
      </c>
      <c r="K10" s="31">
        <f>IF(J10&gt;0, ROUNDUP(C10/J10, 0), 0)</f>
        <v/>
      </c>
      <c r="L10" s="28" t="n">
        <v>220000</v>
      </c>
      <c r="M10" s="29">
        <f>K10*L10</f>
        <v/>
      </c>
      <c r="N10" s="32">
        <f>IF(I10&gt;0, M10/I10, 0)</f>
        <v/>
      </c>
      <c r="O10" s="8">
        <f>IF(N10=0, "", IF(N10&lt;=0.2, "✅ An toàn", IF(N10&lt;=0.25, "⚠️ Cận trần", "❌ VƯỢT TRẦN")))</f>
        <v/>
      </c>
      <c r="P10" s="26" t="inlineStr">
        <is>
          <t>Tuyến giữ phong độ CPL tốt nhất</t>
        </is>
      </c>
    </row>
    <row r="11">
      <c r="A11" s="33" t="inlineStr"/>
      <c r="B11" s="33" t="inlineStr"/>
      <c r="C11" s="33" t="inlineStr"/>
      <c r="D11" s="33" t="inlineStr"/>
      <c r="E11" s="34" t="inlineStr"/>
      <c r="F11" s="34" t="inlineStr"/>
      <c r="G11" s="29">
        <f>IF(E11&gt;0, E11-F11, 0)</f>
        <v/>
      </c>
      <c r="H11" s="29">
        <f>IF(C11&gt;0, C11*E11, 0)</f>
        <v/>
      </c>
      <c r="I11" s="29">
        <f>IF(C11&gt;0, C11*G11, 0)</f>
        <v/>
      </c>
      <c r="J11" s="35" t="inlineStr"/>
      <c r="K11" s="31">
        <f>IF(AND(C11&gt;0, J11&gt;0), ROUNDUP(C11/J11, 0), 0)</f>
        <v/>
      </c>
      <c r="L11" s="34" t="inlineStr"/>
      <c r="M11" s="29">
        <f>IF(K11&gt;0, K11*L11, 0)</f>
        <v/>
      </c>
      <c r="N11" s="32">
        <f>IF(I11&gt;0, M11/I11, 0)</f>
        <v/>
      </c>
      <c r="O11" s="8">
        <f>IF(M11=0, "", IF(N11&lt;=0.2, "✅ An toàn", IF(N11&lt;=0.25, "⚠️ Cận trần", "❌ VƯỢT TRẦN")))</f>
        <v/>
      </c>
      <c r="P11" s="33" t="inlineStr"/>
    </row>
    <row r="12">
      <c r="A12" s="33" t="inlineStr"/>
      <c r="B12" s="33" t="inlineStr"/>
      <c r="C12" s="33" t="inlineStr"/>
      <c r="D12" s="33" t="inlineStr"/>
      <c r="E12" s="34" t="inlineStr"/>
      <c r="F12" s="34" t="inlineStr"/>
      <c r="G12" s="29">
        <f>IF(E12&gt;0, E12-F12, 0)</f>
        <v/>
      </c>
      <c r="H12" s="29">
        <f>IF(C12&gt;0, C12*E12, 0)</f>
        <v/>
      </c>
      <c r="I12" s="29">
        <f>IF(C12&gt;0, C12*G12, 0)</f>
        <v/>
      </c>
      <c r="J12" s="35" t="inlineStr"/>
      <c r="K12" s="31">
        <f>IF(AND(C12&gt;0, J12&gt;0), ROUNDUP(C12/J12, 0), 0)</f>
        <v/>
      </c>
      <c r="L12" s="34" t="inlineStr"/>
      <c r="M12" s="29">
        <f>IF(K12&gt;0, K12*L12, 0)</f>
        <v/>
      </c>
      <c r="N12" s="32">
        <f>IF(I12&gt;0, M12/I12, 0)</f>
        <v/>
      </c>
      <c r="O12" s="8">
        <f>IF(M12=0, "", IF(N12&lt;=0.2, "✅ An toàn", IF(N12&lt;=0.25, "⚠️ Cận trần", "❌ VƯỢT TRẦN")))</f>
        <v/>
      </c>
      <c r="P12" s="33" t="inlineStr"/>
    </row>
    <row r="13">
      <c r="A13" s="33" t="inlineStr"/>
      <c r="B13" s="33" t="inlineStr"/>
      <c r="C13" s="33" t="inlineStr"/>
      <c r="D13" s="33" t="inlineStr"/>
      <c r="E13" s="34" t="inlineStr"/>
      <c r="F13" s="34" t="inlineStr"/>
      <c r="G13" s="29">
        <f>IF(E13&gt;0, E13-F13, 0)</f>
        <v/>
      </c>
      <c r="H13" s="29">
        <f>IF(C13&gt;0, C13*E13, 0)</f>
        <v/>
      </c>
      <c r="I13" s="29">
        <f>IF(C13&gt;0, C13*G13, 0)</f>
        <v/>
      </c>
      <c r="J13" s="35" t="inlineStr"/>
      <c r="K13" s="31">
        <f>IF(AND(C13&gt;0, J13&gt;0), ROUNDUP(C13/J13, 0), 0)</f>
        <v/>
      </c>
      <c r="L13" s="34" t="inlineStr"/>
      <c r="M13" s="29">
        <f>IF(K13&gt;0, K13*L13, 0)</f>
        <v/>
      </c>
      <c r="N13" s="32">
        <f>IF(I13&gt;0, M13/I13, 0)</f>
        <v/>
      </c>
      <c r="O13" s="8">
        <f>IF(M13=0, "", IF(N13&lt;=0.2, "✅ An toàn", IF(N13&lt;=0.25, "⚠️ Cận trần", "❌ VƯỢT TRẦN")))</f>
        <v/>
      </c>
      <c r="P13" s="33" t="inlineStr"/>
    </row>
    <row r="14">
      <c r="A14" s="33" t="inlineStr"/>
      <c r="B14" s="33" t="inlineStr"/>
      <c r="C14" s="33" t="inlineStr"/>
      <c r="D14" s="33" t="inlineStr"/>
      <c r="E14" s="34" t="inlineStr"/>
      <c r="F14" s="34" t="inlineStr"/>
      <c r="G14" s="29">
        <f>IF(E14&gt;0, E14-F14, 0)</f>
        <v/>
      </c>
      <c r="H14" s="29">
        <f>IF(C14&gt;0, C14*E14, 0)</f>
        <v/>
      </c>
      <c r="I14" s="29">
        <f>IF(C14&gt;0, C14*G14, 0)</f>
        <v/>
      </c>
      <c r="J14" s="35" t="inlineStr"/>
      <c r="K14" s="31">
        <f>IF(AND(C14&gt;0, J14&gt;0), ROUNDUP(C14/J14, 0), 0)</f>
        <v/>
      </c>
      <c r="L14" s="34" t="inlineStr"/>
      <c r="M14" s="29">
        <f>IF(K14&gt;0, K14*L14, 0)</f>
        <v/>
      </c>
      <c r="N14" s="32">
        <f>IF(I14&gt;0, M14/I14, 0)</f>
        <v/>
      </c>
      <c r="O14" s="8">
        <f>IF(M14=0, "", IF(N14&lt;=0.2, "✅ An toàn", IF(N14&lt;=0.25, "⚠️ Cận trần", "❌ VƯỢT TRẦN")))</f>
        <v/>
      </c>
      <c r="P14" s="33" t="inlineStr"/>
    </row>
    <row r="15">
      <c r="A15" s="33" t="inlineStr"/>
      <c r="B15" s="33" t="inlineStr"/>
      <c r="C15" s="33" t="inlineStr"/>
      <c r="D15" s="33" t="inlineStr"/>
      <c r="E15" s="34" t="inlineStr"/>
      <c r="F15" s="34" t="inlineStr"/>
      <c r="G15" s="29">
        <f>IF(E15&gt;0, E15-F15, 0)</f>
        <v/>
      </c>
      <c r="H15" s="29">
        <f>IF(C15&gt;0, C15*E15, 0)</f>
        <v/>
      </c>
      <c r="I15" s="29">
        <f>IF(C15&gt;0, C15*G15, 0)</f>
        <v/>
      </c>
      <c r="J15" s="35" t="inlineStr"/>
      <c r="K15" s="31">
        <f>IF(AND(C15&gt;0, J15&gt;0), ROUNDUP(C15/J15, 0), 0)</f>
        <v/>
      </c>
      <c r="L15" s="34" t="inlineStr"/>
      <c r="M15" s="29">
        <f>IF(K15&gt;0, K15*L15, 0)</f>
        <v/>
      </c>
      <c r="N15" s="32">
        <f>IF(I15&gt;0, M15/I15, 0)</f>
        <v/>
      </c>
      <c r="O15" s="8">
        <f>IF(M15=0, "", IF(N15&lt;=0.2, "✅ An toàn", IF(N15&lt;=0.25, "⚠️ Cận trần", "❌ VƯỢT TRẦN")))</f>
        <v/>
      </c>
      <c r="P15" s="33" t="inlineStr"/>
    </row>
    <row r="16">
      <c r="A16" s="33" t="inlineStr"/>
      <c r="B16" s="33" t="inlineStr"/>
      <c r="C16" s="33" t="inlineStr"/>
      <c r="D16" s="33" t="inlineStr"/>
      <c r="E16" s="34" t="inlineStr"/>
      <c r="F16" s="34" t="inlineStr"/>
      <c r="G16" s="29">
        <f>IF(E16&gt;0, E16-F16, 0)</f>
        <v/>
      </c>
      <c r="H16" s="29">
        <f>IF(C16&gt;0, C16*E16, 0)</f>
        <v/>
      </c>
      <c r="I16" s="29">
        <f>IF(C16&gt;0, C16*G16, 0)</f>
        <v/>
      </c>
      <c r="J16" s="35" t="inlineStr"/>
      <c r="K16" s="31">
        <f>IF(AND(C16&gt;0, J16&gt;0), ROUNDUP(C16/J16, 0), 0)</f>
        <v/>
      </c>
      <c r="L16" s="34" t="inlineStr"/>
      <c r="M16" s="29">
        <f>IF(K16&gt;0, K16*L16, 0)</f>
        <v/>
      </c>
      <c r="N16" s="32">
        <f>IF(I16&gt;0, M16/I16, 0)</f>
        <v/>
      </c>
      <c r="O16" s="8">
        <f>IF(M16=0, "", IF(N16&lt;=0.2, "✅ An toàn", IF(N16&lt;=0.25, "⚠️ Cận trần", "❌ VƯỢT TRẦN")))</f>
        <v/>
      </c>
      <c r="P16" s="33" t="inlineStr"/>
    </row>
    <row r="17">
      <c r="A17" s="33" t="inlineStr"/>
      <c r="B17" s="33" t="inlineStr"/>
      <c r="C17" s="33" t="inlineStr"/>
      <c r="D17" s="33" t="inlineStr"/>
      <c r="E17" s="34" t="inlineStr"/>
      <c r="F17" s="34" t="inlineStr"/>
      <c r="G17" s="29">
        <f>IF(E17&gt;0, E17-F17, 0)</f>
        <v/>
      </c>
      <c r="H17" s="29">
        <f>IF(C17&gt;0, C17*E17, 0)</f>
        <v/>
      </c>
      <c r="I17" s="29">
        <f>IF(C17&gt;0, C17*G17, 0)</f>
        <v/>
      </c>
      <c r="J17" s="35" t="inlineStr"/>
      <c r="K17" s="31">
        <f>IF(AND(C17&gt;0, J17&gt;0), ROUNDUP(C17/J17, 0), 0)</f>
        <v/>
      </c>
      <c r="L17" s="34" t="inlineStr"/>
      <c r="M17" s="29">
        <f>IF(K17&gt;0, K17*L17, 0)</f>
        <v/>
      </c>
      <c r="N17" s="32">
        <f>IF(I17&gt;0, M17/I17, 0)</f>
        <v/>
      </c>
      <c r="O17" s="8">
        <f>IF(M17=0, "", IF(N17&lt;=0.2, "✅ An toàn", IF(N17&lt;=0.25, "⚠️ Cận trần", "❌ VƯỢT TRẦN")))</f>
        <v/>
      </c>
      <c r="P17" s="33" t="inlineStr"/>
    </row>
    <row r="18">
      <c r="A18" s="33" t="inlineStr"/>
      <c r="B18" s="33" t="inlineStr"/>
      <c r="C18" s="33" t="inlineStr"/>
      <c r="D18" s="33" t="inlineStr"/>
      <c r="E18" s="34" t="inlineStr"/>
      <c r="F18" s="34" t="inlineStr"/>
      <c r="G18" s="29">
        <f>IF(E18&gt;0, E18-F18, 0)</f>
        <v/>
      </c>
      <c r="H18" s="29">
        <f>IF(C18&gt;0, C18*E18, 0)</f>
        <v/>
      </c>
      <c r="I18" s="29">
        <f>IF(C18&gt;0, C18*G18, 0)</f>
        <v/>
      </c>
      <c r="J18" s="35" t="inlineStr"/>
      <c r="K18" s="31">
        <f>IF(AND(C18&gt;0, J18&gt;0), ROUNDUP(C18/J18, 0), 0)</f>
        <v/>
      </c>
      <c r="L18" s="34" t="inlineStr"/>
      <c r="M18" s="29">
        <f>IF(K18&gt;0, K18*L18, 0)</f>
        <v/>
      </c>
      <c r="N18" s="32">
        <f>IF(I18&gt;0, M18/I18, 0)</f>
        <v/>
      </c>
      <c r="O18" s="8">
        <f>IF(M18=0, "", IF(N18&lt;=0.2, "✅ An toàn", IF(N18&lt;=0.25, "⚠️ Cận trần", "❌ VƯỢT TRẦN")))</f>
        <v/>
      </c>
      <c r="P18" s="33" t="inlineStr"/>
    </row>
    <row r="19">
      <c r="A19" s="33" t="inlineStr"/>
      <c r="B19" s="33" t="inlineStr"/>
      <c r="C19" s="33" t="inlineStr"/>
      <c r="D19" s="33" t="inlineStr"/>
      <c r="E19" s="34" t="inlineStr"/>
      <c r="F19" s="34" t="inlineStr"/>
      <c r="G19" s="29">
        <f>IF(E19&gt;0, E19-F19, 0)</f>
        <v/>
      </c>
      <c r="H19" s="29">
        <f>IF(C19&gt;0, C19*E19, 0)</f>
        <v/>
      </c>
      <c r="I19" s="29">
        <f>IF(C19&gt;0, C19*G19, 0)</f>
        <v/>
      </c>
      <c r="J19" s="35" t="inlineStr"/>
      <c r="K19" s="31">
        <f>IF(AND(C19&gt;0, J19&gt;0), ROUNDUP(C19/J19, 0), 0)</f>
        <v/>
      </c>
      <c r="L19" s="34" t="inlineStr"/>
      <c r="M19" s="29">
        <f>IF(K19&gt;0, K19*L19, 0)</f>
        <v/>
      </c>
      <c r="N19" s="32">
        <f>IF(I19&gt;0, M19/I19, 0)</f>
        <v/>
      </c>
      <c r="O19" s="8">
        <f>IF(M19=0, "", IF(N19&lt;=0.2, "✅ An toàn", IF(N19&lt;=0.25, "⚠️ Cận trần", "❌ VƯỢT TRẦN")))</f>
        <v/>
      </c>
      <c r="P19" s="33" t="inlineStr"/>
    </row>
    <row r="20">
      <c r="A20" s="33" t="inlineStr"/>
      <c r="B20" s="33" t="inlineStr"/>
      <c r="C20" s="33" t="inlineStr"/>
      <c r="D20" s="33" t="inlineStr"/>
      <c r="E20" s="34" t="inlineStr"/>
      <c r="F20" s="34" t="inlineStr"/>
      <c r="G20" s="29">
        <f>IF(E20&gt;0, E20-F20, 0)</f>
        <v/>
      </c>
      <c r="H20" s="29">
        <f>IF(C20&gt;0, C20*E20, 0)</f>
        <v/>
      </c>
      <c r="I20" s="29">
        <f>IF(C20&gt;0, C20*G20, 0)</f>
        <v/>
      </c>
      <c r="J20" s="35" t="inlineStr"/>
      <c r="K20" s="31">
        <f>IF(AND(C20&gt;0, J20&gt;0), ROUNDUP(C20/J20, 0), 0)</f>
        <v/>
      </c>
      <c r="L20" s="34" t="inlineStr"/>
      <c r="M20" s="29">
        <f>IF(K20&gt;0, K20*L20, 0)</f>
        <v/>
      </c>
      <c r="N20" s="32">
        <f>IF(I20&gt;0, M20/I20, 0)</f>
        <v/>
      </c>
      <c r="O20" s="8">
        <f>IF(M20=0, "", IF(N20&lt;=0.2, "✅ An toàn", IF(N20&lt;=0.25, "⚠️ Cận trần", "❌ VƯỢT TRẦN")))</f>
        <v/>
      </c>
      <c r="P20" s="33" t="inlineStr"/>
    </row>
    <row r="21">
      <c r="A21" s="33" t="inlineStr"/>
      <c r="B21" s="33" t="inlineStr"/>
      <c r="C21" s="33" t="inlineStr"/>
      <c r="D21" s="33" t="inlineStr"/>
      <c r="E21" s="34" t="inlineStr"/>
      <c r="F21" s="34" t="inlineStr"/>
      <c r="G21" s="29">
        <f>IF(E21&gt;0, E21-F21, 0)</f>
        <v/>
      </c>
      <c r="H21" s="29">
        <f>IF(C21&gt;0, C21*E21, 0)</f>
        <v/>
      </c>
      <c r="I21" s="29">
        <f>IF(C21&gt;0, C21*G21, 0)</f>
        <v/>
      </c>
      <c r="J21" s="35" t="inlineStr"/>
      <c r="K21" s="31">
        <f>IF(AND(C21&gt;0, J21&gt;0), ROUNDUP(C21/J21, 0), 0)</f>
        <v/>
      </c>
      <c r="L21" s="34" t="inlineStr"/>
      <c r="M21" s="29">
        <f>IF(K21&gt;0, K21*L21, 0)</f>
        <v/>
      </c>
      <c r="N21" s="32">
        <f>IF(I21&gt;0, M21/I21, 0)</f>
        <v/>
      </c>
      <c r="O21" s="8">
        <f>IF(M21=0, "", IF(N21&lt;=0.2, "✅ An toàn", IF(N21&lt;=0.25, "⚠️ Cận trần", "❌ VƯỢT TRẦN")))</f>
        <v/>
      </c>
      <c r="P21" s="33" t="inlineStr"/>
    </row>
    <row r="22">
      <c r="A22" s="33" t="inlineStr"/>
      <c r="B22" s="33" t="inlineStr"/>
      <c r="C22" s="33" t="inlineStr"/>
      <c r="D22" s="33" t="inlineStr"/>
      <c r="E22" s="34" t="inlineStr"/>
      <c r="F22" s="34" t="inlineStr"/>
      <c r="G22" s="29">
        <f>IF(E22&gt;0, E22-F22, 0)</f>
        <v/>
      </c>
      <c r="H22" s="29">
        <f>IF(C22&gt;0, C22*E22, 0)</f>
        <v/>
      </c>
      <c r="I22" s="29">
        <f>IF(C22&gt;0, C22*G22, 0)</f>
        <v/>
      </c>
      <c r="J22" s="35" t="inlineStr"/>
      <c r="K22" s="31">
        <f>IF(AND(C22&gt;0, J22&gt;0), ROUNDUP(C22/J22, 0), 0)</f>
        <v/>
      </c>
      <c r="L22" s="34" t="inlineStr"/>
      <c r="M22" s="29">
        <f>IF(K22&gt;0, K22*L22, 0)</f>
        <v/>
      </c>
      <c r="N22" s="32">
        <f>IF(I22&gt;0, M22/I22, 0)</f>
        <v/>
      </c>
      <c r="O22" s="8">
        <f>IF(M22=0, "", IF(N22&lt;=0.2, "✅ An toàn", IF(N22&lt;=0.25, "⚠️ Cận trần", "❌ VƯỢT TRẦN")))</f>
        <v/>
      </c>
      <c r="P22" s="33" t="inlineStr"/>
    </row>
    <row r="23">
      <c r="A23" s="33" t="inlineStr"/>
      <c r="B23" s="33" t="inlineStr"/>
      <c r="C23" s="33" t="inlineStr"/>
      <c r="D23" s="33" t="inlineStr"/>
      <c r="E23" s="34" t="inlineStr"/>
      <c r="F23" s="34" t="inlineStr"/>
      <c r="G23" s="29">
        <f>IF(E23&gt;0, E23-F23, 0)</f>
        <v/>
      </c>
      <c r="H23" s="29">
        <f>IF(C23&gt;0, C23*E23, 0)</f>
        <v/>
      </c>
      <c r="I23" s="29">
        <f>IF(C23&gt;0, C23*G23, 0)</f>
        <v/>
      </c>
      <c r="J23" s="35" t="inlineStr"/>
      <c r="K23" s="31">
        <f>IF(AND(C23&gt;0, J23&gt;0), ROUNDUP(C23/J23, 0), 0)</f>
        <v/>
      </c>
      <c r="L23" s="34" t="inlineStr"/>
      <c r="M23" s="29">
        <f>IF(K23&gt;0, K23*L23, 0)</f>
        <v/>
      </c>
      <c r="N23" s="32">
        <f>IF(I23&gt;0, M23/I23, 0)</f>
        <v/>
      </c>
      <c r="O23" s="8">
        <f>IF(M23=0, "", IF(N23&lt;=0.2, "✅ An toàn", IF(N23&lt;=0.25, "⚠️ Cận trần", "❌ VƯỢT TRẦN")))</f>
        <v/>
      </c>
      <c r="P23" s="33" t="inlineStr"/>
    </row>
    <row r="24">
      <c r="A24" s="33" t="inlineStr"/>
      <c r="B24" s="33" t="inlineStr"/>
      <c r="C24" s="33" t="inlineStr"/>
      <c r="D24" s="33" t="inlineStr"/>
      <c r="E24" s="34" t="inlineStr"/>
      <c r="F24" s="34" t="inlineStr"/>
      <c r="G24" s="29">
        <f>IF(E24&gt;0, E24-F24, 0)</f>
        <v/>
      </c>
      <c r="H24" s="29">
        <f>IF(C24&gt;0, C24*E24, 0)</f>
        <v/>
      </c>
      <c r="I24" s="29">
        <f>IF(C24&gt;0, C24*G24, 0)</f>
        <v/>
      </c>
      <c r="J24" s="35" t="inlineStr"/>
      <c r="K24" s="31">
        <f>IF(AND(C24&gt;0, J24&gt;0), ROUNDUP(C24/J24, 0), 0)</f>
        <v/>
      </c>
      <c r="L24" s="34" t="inlineStr"/>
      <c r="M24" s="29">
        <f>IF(K24&gt;0, K24*L24, 0)</f>
        <v/>
      </c>
      <c r="N24" s="32">
        <f>IF(I24&gt;0, M24/I24, 0)</f>
        <v/>
      </c>
      <c r="O24" s="8">
        <f>IF(M24=0, "", IF(N24&lt;=0.2, "✅ An toàn", IF(N24&lt;=0.25, "⚠️ Cận trần", "❌ VƯỢT TRẦN")))</f>
        <v/>
      </c>
      <c r="P24" s="33" t="inlineStr"/>
    </row>
    <row r="25">
      <c r="A25" s="33" t="inlineStr"/>
      <c r="B25" s="33" t="inlineStr"/>
      <c r="C25" s="33" t="inlineStr"/>
      <c r="D25" s="33" t="inlineStr"/>
      <c r="E25" s="34" t="inlineStr"/>
      <c r="F25" s="34" t="inlineStr"/>
      <c r="G25" s="29">
        <f>IF(E25&gt;0, E25-F25, 0)</f>
        <v/>
      </c>
      <c r="H25" s="29">
        <f>IF(C25&gt;0, C25*E25, 0)</f>
        <v/>
      </c>
      <c r="I25" s="29">
        <f>IF(C25&gt;0, C25*G25, 0)</f>
        <v/>
      </c>
      <c r="J25" s="35" t="inlineStr"/>
      <c r="K25" s="31">
        <f>IF(AND(C25&gt;0, J25&gt;0), ROUNDUP(C25/J25, 0), 0)</f>
        <v/>
      </c>
      <c r="L25" s="34" t="inlineStr"/>
      <c r="M25" s="29">
        <f>IF(K25&gt;0, K25*L25, 0)</f>
        <v/>
      </c>
      <c r="N25" s="32">
        <f>IF(I25&gt;0, M25/I25, 0)</f>
        <v/>
      </c>
      <c r="O25" s="8">
        <f>IF(M25=0, "", IF(N25&lt;=0.2, "✅ An toàn", IF(N25&lt;=0.25, "⚠️ Cận trần", "❌ VƯỢT TRẦN")))</f>
        <v/>
      </c>
      <c r="P25" s="33" t="inlineStr"/>
    </row>
    <row r="26">
      <c r="A26" s="22" t="inlineStr">
        <is>
          <t>TỔNG CỘNG TOÀN BU</t>
        </is>
      </c>
      <c r="B26" s="36" t="n"/>
      <c r="C26" s="21">
        <f>SUM(C7:C25)</f>
        <v/>
      </c>
      <c r="D26" s="36" t="n"/>
      <c r="E26" s="36" t="n"/>
      <c r="F26" s="36" t="n"/>
      <c r="G26" s="36" t="n"/>
      <c r="H26" s="23">
        <f>SUM(H7:H25)</f>
        <v/>
      </c>
      <c r="I26" s="23">
        <f>SUM(I7:I25)</f>
        <v/>
      </c>
      <c r="J26" s="36" t="n"/>
      <c r="K26" s="24">
        <f>SUM(K7:K25)</f>
        <v/>
      </c>
      <c r="L26" s="36" t="n"/>
      <c r="M26" s="23">
        <f>SUM(M7:M25)</f>
        <v/>
      </c>
      <c r="N26" s="25">
        <f>IF(I26&gt;0, M26/I26, 0)</f>
        <v/>
      </c>
      <c r="O26" s="21">
        <f>IF(N26&lt;=0.22, "✅ ĐẠT CHUẨN", "⚠️ CẦN TỐI ƯU")</f>
        <v/>
      </c>
      <c r="P26" s="36" t="n"/>
    </row>
  </sheetData>
  <mergeCells count="11">
    <mergeCell ref="N4:P4"/>
    <mergeCell ref="G3:J3"/>
    <mergeCell ref="K4:M4"/>
    <mergeCell ref="A1:P2"/>
    <mergeCell ref="D4:F4"/>
    <mergeCell ref="G4:J4"/>
    <mergeCell ref="D3:F3"/>
    <mergeCell ref="A3:C3"/>
    <mergeCell ref="K3:M3"/>
    <mergeCell ref="A4:C4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  <col width="22" customWidth="1" min="4" max="4"/>
    <col width="22" customWidth="1" min="5" max="5"/>
    <col width="20" customWidth="1" min="6" max="6"/>
    <col width="20" customWidth="1" min="7" max="7"/>
    <col width="45" customWidth="1" min="8" max="8"/>
  </cols>
  <sheetData>
    <row r="1">
      <c r="A1" s="1" t="inlineStr">
        <is>
          <t>SỐ LIỆU THỰC TẾ &amp; BẢNG BENCHMARK CPL THÁNG 7 &amp; 8/2026 (GROUND TRUTH)</t>
        </is>
      </c>
    </row>
    <row r="2"/>
    <row r="4">
      <c r="A4" s="2" t="inlineStr">
        <is>
          <t>BẢNG 1: BENCHMARK KHUYẾN NGHỊ ĐỂ BUM ĐIỀN CỘT L (CPL) &amp; J (CR%) TRÊN SHEET</t>
        </is>
      </c>
    </row>
    <row r="5">
      <c r="A5" s="4" t="inlineStr">
        <is>
          <t>BU</t>
        </is>
      </c>
      <c r="B5" s="4" t="inlineStr">
        <is>
          <t>Tên Tuyến Tour Cụ Thể</t>
        </is>
      </c>
      <c r="C5" s="4" t="inlineStr">
        <is>
          <t>CPL Lead Khuyến Nghị (Cột L)</t>
        </is>
      </c>
      <c r="D5" s="4" t="inlineStr">
        <is>
          <t>CR% Chốt Sale Dự Kiến (Cột J)</t>
        </is>
      </c>
      <c r="E5" s="4" t="inlineStr">
        <is>
          <t>Mức CPL Message Tham Khảo</t>
        </is>
      </c>
      <c r="F5" s="4" t="inlineStr">
        <is>
          <t>Đánh Giá &amp; Lưu Ý Thực Tế</t>
        </is>
      </c>
    </row>
    <row r="6">
      <c r="A6" s="10" t="inlineStr">
        <is>
          <t>BU1</t>
        </is>
      </c>
      <c r="B6" s="7" t="inlineStr">
        <is>
          <t>Cửu Trại Câu</t>
        </is>
      </c>
      <c r="C6" s="6" t="inlineStr">
        <is>
          <t>130.000 đ - 150.000 đ</t>
        </is>
      </c>
      <c r="D6" s="11" t="inlineStr">
        <is>
          <t>10% - 12%</t>
        </is>
      </c>
      <c r="E6" s="7" t="inlineStr">
        <is>
          <t>40.000 đ - 55.000 đ</t>
        </is>
      </c>
      <c r="F6" s="7" t="inlineStr">
        <is>
          <t>Tuyến HOT nhất T8 đạt 128k/lead, nhu cầu lá đỏ rất cao</t>
        </is>
      </c>
    </row>
    <row r="7">
      <c r="A7" s="10" t="inlineStr">
        <is>
          <t>BU1</t>
        </is>
      </c>
      <c r="B7" s="7" t="inlineStr">
        <is>
          <t>Lệ Giang - Sa Khê</t>
        </is>
      </c>
      <c r="C7" s="6" t="inlineStr">
        <is>
          <t>150.000 đ - 180.000 đ</t>
        </is>
      </c>
      <c r="D7" s="11" t="inlineStr">
        <is>
          <t>8% - 10%</t>
        </is>
      </c>
      <c r="E7" s="7" t="inlineStr">
        <is>
          <t>55.000 đ - 65.000 đ</t>
        </is>
      </c>
      <c r="F7" s="7" t="inlineStr">
        <is>
          <t>Tuyến chạy đều, phong độ T7 là 150k/lead</t>
        </is>
      </c>
    </row>
    <row r="8">
      <c r="A8" s="10" t="inlineStr">
        <is>
          <t>BU1</t>
        </is>
      </c>
      <c r="B8" s="7" t="inlineStr">
        <is>
          <t>Bắc Kinh - Thượng Hải</t>
        </is>
      </c>
      <c r="C8" s="6" t="inlineStr">
        <is>
          <t>160.000 đ - 190.000 đ</t>
        </is>
      </c>
      <c r="D8" s="11" t="inlineStr">
        <is>
          <t>8% - 10%</t>
        </is>
      </c>
      <c r="E8" s="7" t="inlineStr">
        <is>
          <t>90.000 đ - 110.000 đ</t>
        </is>
      </c>
      <c r="F8" s="7" t="inlineStr">
        <is>
          <t>T8 đạt 160k/lead, khách nghiêm túc tỷ lệ ra SĐT cao</t>
        </is>
      </c>
    </row>
    <row r="9">
      <c r="A9" s="10" t="inlineStr">
        <is>
          <t>BU1</t>
        </is>
      </c>
      <c r="B9" s="7" t="inlineStr">
        <is>
          <t>Thanh Tạng / Tân Cương</t>
        </is>
      </c>
      <c r="C9" s="6" t="inlineStr">
        <is>
          <t>180.000 đ - 230.000 đ</t>
        </is>
      </c>
      <c r="D9" s="11" t="inlineStr">
        <is>
          <t>6% - 8%</t>
        </is>
      </c>
      <c r="E9" s="7" t="inlineStr">
        <is>
          <t>45.000 đ - 65.000 đ</t>
        </is>
      </c>
      <c r="F9" s="7" t="inlineStr">
        <is>
          <t>Tuyến dài ngày chi phí cao, kén khách</t>
        </is>
      </c>
    </row>
    <row r="10">
      <c r="A10" s="10" t="inlineStr">
        <is>
          <t>BU2</t>
        </is>
      </c>
      <c r="B10" s="7" t="inlineStr">
        <is>
          <t>Nhật Bản (Cung đường vàng)</t>
        </is>
      </c>
      <c r="C10" s="6" t="inlineStr">
        <is>
          <t>180.000 đ - 220.000 đ</t>
        </is>
      </c>
      <c r="D10" s="11" t="inlineStr">
        <is>
          <t>7% - 9%</t>
        </is>
      </c>
      <c r="E10" s="7" t="inlineStr">
        <is>
          <t>60.000 đ - 75.000 đ</t>
        </is>
      </c>
      <c r="F10" s="7" t="inlineStr">
        <is>
          <t>T7 đạt 153k/lead, mùa lá đỏ cạnh tranh tăng nhẹ</t>
        </is>
      </c>
    </row>
    <row r="11">
      <c r="A11" s="10" t="inlineStr">
        <is>
          <t>BU2</t>
        </is>
      </c>
      <c r="B11" s="7" t="inlineStr">
        <is>
          <t>Nhật Bản (Mùa Tuyết/Noel)</t>
        </is>
      </c>
      <c r="C11" s="6" t="inlineStr">
        <is>
          <t>200.000 đ - 250.000 đ</t>
        </is>
      </c>
      <c r="D11" s="11" t="inlineStr">
        <is>
          <t>6% - 8%</t>
        </is>
      </c>
      <c r="E11" s="7" t="inlineStr">
        <is>
          <t>65.000 đ - 80.000 đ</t>
        </is>
      </c>
      <c r="F11" s="7" t="inlineStr">
        <is>
          <t>Bán tour Noel và Tết Dương lịch</t>
        </is>
      </c>
    </row>
    <row r="12">
      <c r="A12" s="10" t="inlineStr">
        <is>
          <t>BU3</t>
        </is>
      </c>
      <c r="B12" s="7" t="inlineStr">
        <is>
          <t>Tây Âu / Đông Âu / Bắc Âu</t>
        </is>
      </c>
      <c r="C12" s="6" t="inlineStr">
        <is>
          <t>450.000 đ - 550.000 đ</t>
        </is>
      </c>
      <c r="D12" s="11" t="inlineStr">
        <is>
          <t>4% - 6%</t>
        </is>
      </c>
      <c r="E12" s="7" t="inlineStr">
        <is>
          <t>150.000 đ - 250.000 đ</t>
        </is>
      </c>
      <c r="F12" s="7" t="inlineStr">
        <is>
          <t>Tour giá trị cao &gt;80tr, visa khó, lọc khách kỹ</t>
        </is>
      </c>
    </row>
    <row r="13">
      <c r="A13" s="10" t="inlineStr">
        <is>
          <t>BU4</t>
        </is>
      </c>
      <c r="B13" s="7" t="inlineStr">
        <is>
          <t>Bhutan (Mùa Lễ Hội / Cuối Năm)</t>
        </is>
      </c>
      <c r="C13" s="6" t="inlineStr">
        <is>
          <t>200.000 đ - 230.000 đ</t>
        </is>
      </c>
      <c r="D13" s="11" t="inlineStr">
        <is>
          <t>6% - 8%</t>
        </is>
      </c>
      <c r="E13" s="7" t="inlineStr">
        <is>
          <t>35.000 đ - 40.000 đ</t>
        </is>
      </c>
      <c r="F13" s="7" t="inlineStr">
        <is>
          <t>T7 đạt 225k/lead rất đều, inbox rẻ (37k/msg)</t>
        </is>
      </c>
    </row>
    <row r="14">
      <c r="A14" s="10" t="inlineStr">
        <is>
          <t>BU4</t>
        </is>
      </c>
      <c r="B14" s="7" t="inlineStr">
        <is>
          <t>Ladakh (Mùa Hè / Mùa Thu)</t>
        </is>
      </c>
      <c r="C14" s="6" t="inlineStr">
        <is>
          <t>150.000 đ - 200.000 đ</t>
        </is>
      </c>
      <c r="D14" s="11" t="inlineStr">
        <is>
          <t>7% - 9%</t>
        </is>
      </c>
      <c r="E14" s="7" t="inlineStr">
        <is>
          <t>65.000 đ - 80.000 đ</t>
        </is>
      </c>
      <c r="F14" s="7" t="inlineStr">
        <is>
          <t>T7 đạt 156k/lead, bài review khách đạt 115k/lead</t>
        </is>
      </c>
    </row>
    <row r="15">
      <c r="A15" s="10" t="inlineStr">
        <is>
          <t>BU4</t>
        </is>
      </c>
      <c r="B15" s="7" t="inlineStr">
        <is>
          <t>Sri Lanka</t>
        </is>
      </c>
      <c r="C15" s="6" t="inlineStr">
        <is>
          <t>280.000 đ - 350.000 đ</t>
        </is>
      </c>
      <c r="D15" s="11" t="inlineStr">
        <is>
          <t>6% - 8%</t>
        </is>
      </c>
      <c r="E15" s="7" t="inlineStr">
        <is>
          <t>50.000 đ - 65.000 đ</t>
        </is>
      </c>
      <c r="F15" s="7" t="inlineStr">
        <is>
          <t>T8 đang test (480k), cần hạ dần khi tệp khách quen</t>
        </is>
      </c>
    </row>
    <row r="16">
      <c r="A16" s="10" t="inlineStr">
        <is>
          <t>BU5</t>
        </is>
      </c>
      <c r="B16" s="7" t="inlineStr">
        <is>
          <t>Ai Cập Huyền Bí (Thu - Đông)</t>
        </is>
      </c>
      <c r="C16" s="6" t="inlineStr">
        <is>
          <t>250.000 đ - 320.000 đ</t>
        </is>
      </c>
      <c r="D16" s="11" t="inlineStr">
        <is>
          <t>7% - 9%</t>
        </is>
      </c>
      <c r="E16" s="7" t="inlineStr">
        <is>
          <t>80.000 đ - 100.000 đ</t>
        </is>
      </c>
      <c r="F16" s="7" t="inlineStr">
        <is>
          <t>Mùa đẹp nhất năm (T10-T2), CPL sẽ hạ từ mức 500k của T8</t>
        </is>
      </c>
    </row>
    <row r="17">
      <c r="A17" s="10" t="inlineStr">
        <is>
          <t>BU5</t>
        </is>
      </c>
      <c r="B17" s="7" t="inlineStr">
        <is>
          <t>Ma Rốc Sa Mạc</t>
        </is>
      </c>
      <c r="C17" s="6" t="inlineStr">
        <is>
          <t>280.000 đ - 350.000 đ</t>
        </is>
      </c>
      <c r="D17" s="11" t="inlineStr">
        <is>
          <t>6% - 8%</t>
        </is>
      </c>
      <c r="E17" s="7" t="inlineStr">
        <is>
          <t>90.000 đ - 110.000 đ</t>
        </is>
      </c>
      <c r="F17" s="7" t="inlineStr">
        <is>
          <t>Tuyến độc lạ cao cấp, thời tiết mát mẻ</t>
        </is>
      </c>
    </row>
    <row r="18">
      <c r="A18" s="10" t="inlineStr">
        <is>
          <t>BU5</t>
        </is>
      </c>
      <c r="B18" s="7" t="inlineStr">
        <is>
          <t>Pakistan (Mùa Thu Hunza)</t>
        </is>
      </c>
      <c r="C18" s="6" t="inlineStr">
        <is>
          <t>200.000 đ - 230.000 đ</t>
        </is>
      </c>
      <c r="D18" s="11" t="inlineStr">
        <is>
          <t>8% - 10%</t>
        </is>
      </c>
      <c r="E18" s="7" t="inlineStr">
        <is>
          <t>75.000 đ - 100.000 đ</t>
        </is>
      </c>
      <c r="F18" s="7" t="inlineStr">
        <is>
          <t>Tuyến phong độ cao nhất BU5 (T7: 212k, T8: 221k)</t>
        </is>
      </c>
    </row>
    <row r="21">
      <c r="A21" s="2" t="inlineStr">
        <is>
          <t>BẢNG 2: TỔNG HỢP HIỆU SUẤT THỰC TẾ TRÍCH TỪ CRM &amp; ADS (THÁNG 7 &amp; 8/2026)</t>
        </is>
      </c>
    </row>
    <row r="22">
      <c r="A22" s="4" t="inlineStr">
        <is>
          <t>BU</t>
        </is>
      </c>
      <c r="B22" s="4" t="inlineStr">
        <is>
          <t>Tháng</t>
        </is>
      </c>
      <c r="C22" s="4" t="inlineStr">
        <is>
          <t>Tổng Chi Phí Ads (VND)</t>
        </is>
      </c>
      <c r="D22" s="4" t="inlineStr">
        <is>
          <t>Tổng Inbox (Msg)</t>
        </is>
      </c>
      <c r="E22" s="4" t="inlineStr">
        <is>
          <t>CPL Message (VND)</t>
        </is>
      </c>
      <c r="F22" s="4" t="inlineStr">
        <is>
          <t>Tổng Lead SĐT (CRM)</t>
        </is>
      </c>
      <c r="G22" s="4" t="inlineStr">
        <is>
          <t>CPL Lead SĐT (VND)</t>
        </is>
      </c>
      <c r="H22" s="4" t="inlineStr">
        <is>
          <t>Đánh Giá Thực Tế</t>
        </is>
      </c>
    </row>
    <row r="23">
      <c r="A23" s="10" t="inlineStr">
        <is>
          <t>BU1</t>
        </is>
      </c>
      <c r="B23" s="10" t="inlineStr">
        <is>
          <t>Tháng 7</t>
        </is>
      </c>
      <c r="C23" s="18" t="n">
        <v>49598581</v>
      </c>
      <c r="D23" s="19" t="n">
        <v>1104</v>
      </c>
      <c r="E23" s="18" t="n">
        <v>44926</v>
      </c>
      <c r="F23" s="19" t="n">
        <v>311</v>
      </c>
      <c r="G23" s="37" t="n">
        <v>159481</v>
      </c>
      <c r="H23" s="7" t="inlineStr">
        <is>
          <t>Cao điểm hè &amp; 2/9, lead về rất đều</t>
        </is>
      </c>
    </row>
    <row r="24">
      <c r="A24" s="10" t="inlineStr">
        <is>
          <t>BU1</t>
        </is>
      </c>
      <c r="B24" s="10" t="inlineStr">
        <is>
          <t>Tháng 8</t>
        </is>
      </c>
      <c r="C24" s="18" t="n">
        <v>8360276</v>
      </c>
      <c r="D24" s="19" t="n">
        <v>134</v>
      </c>
      <c r="E24" s="18" t="n">
        <v>62390</v>
      </c>
      <c r="F24" s="19" t="n">
        <v>45</v>
      </c>
      <c r="G24" s="37" t="n">
        <v>185784</v>
      </c>
      <c r="H24" s="7" t="inlineStr">
        <is>
          <t>Chuyển giao mùa sang Thu, Cửu Trại Câu nổi trội</t>
        </is>
      </c>
    </row>
    <row r="25">
      <c r="A25" s="10" t="inlineStr">
        <is>
          <t>BU2</t>
        </is>
      </c>
      <c r="B25" s="10" t="inlineStr">
        <is>
          <t>Tháng 7</t>
        </is>
      </c>
      <c r="C25" s="18" t="n">
        <v>42460145</v>
      </c>
      <c r="D25" s="19" t="n">
        <v>567</v>
      </c>
      <c r="E25" s="18" t="n">
        <v>74886</v>
      </c>
      <c r="F25" s="19" t="n">
        <v>204</v>
      </c>
      <c r="G25" s="37" t="n">
        <v>208138</v>
      </c>
      <c r="H25" s="7" t="inlineStr">
        <is>
          <t>Gồm cả Nhật Bản, Mông Cổ, Pakistan (cũ)</t>
        </is>
      </c>
    </row>
    <row r="26">
      <c r="A26" s="10" t="inlineStr">
        <is>
          <t>BU2</t>
        </is>
      </c>
      <c r="B26" s="10" t="inlineStr">
        <is>
          <t>Tháng 8</t>
        </is>
      </c>
      <c r="C26" s="18" t="n">
        <v>1381274</v>
      </c>
      <c r="D26" s="19" t="n">
        <v>22</v>
      </c>
      <c r="E26" s="18" t="n">
        <v>62785</v>
      </c>
      <c r="F26" s="19" t="n">
        <v>3</v>
      </c>
      <c r="G26" s="37" t="n">
        <v>460425</v>
      </c>
      <c r="H26" s="7" t="inlineStr">
        <is>
          <t>Ngân sách nhỏ giọt nên CPL bị dội cao</t>
        </is>
      </c>
    </row>
    <row r="27">
      <c r="A27" s="10" t="inlineStr">
        <is>
          <t>BU4</t>
        </is>
      </c>
      <c r="B27" s="10" t="inlineStr">
        <is>
          <t>Tháng 7</t>
        </is>
      </c>
      <c r="C27" s="18" t="n">
        <v>38539899</v>
      </c>
      <c r="D27" s="19" t="n">
        <v>721</v>
      </c>
      <c r="E27" s="18" t="n">
        <v>53453</v>
      </c>
      <c r="F27" s="19" t="n">
        <v>194</v>
      </c>
      <c r="G27" s="37" t="n">
        <v>198659</v>
      </c>
      <c r="H27" s="7" t="inlineStr">
        <is>
          <t>Ladakh &amp; Bhutan chạy mạnh mẽ</t>
        </is>
      </c>
    </row>
    <row r="28">
      <c r="A28" s="10" t="inlineStr">
        <is>
          <t>BU4</t>
        </is>
      </c>
      <c r="B28" s="10" t="inlineStr">
        <is>
          <t>Tháng 8</t>
        </is>
      </c>
      <c r="C28" s="18" t="n">
        <v>5862587</v>
      </c>
      <c r="D28" s="19" t="n">
        <v>94</v>
      </c>
      <c r="E28" s="18" t="n">
        <v>62368</v>
      </c>
      <c r="F28" s="19" t="n">
        <v>19</v>
      </c>
      <c r="G28" s="37" t="n">
        <v>308557</v>
      </c>
      <c r="H28" s="7" t="inlineStr">
        <is>
          <t>Test tuyến mới Sri Lanka, chốt cuối mùa Ladakh</t>
        </is>
      </c>
    </row>
    <row r="29">
      <c r="A29" s="10" t="inlineStr">
        <is>
          <t>BU5</t>
        </is>
      </c>
      <c r="B29" s="10" t="inlineStr">
        <is>
          <t>Tháng 7</t>
        </is>
      </c>
      <c r="C29" s="18" t="n">
        <v>18472787</v>
      </c>
      <c r="D29" s="19" t="n">
        <v>237</v>
      </c>
      <c r="E29" s="18" t="n">
        <v>77944</v>
      </c>
      <c r="F29" s="19" t="n">
        <v>87</v>
      </c>
      <c r="G29" s="37" t="n">
        <v>212330</v>
      </c>
      <c r="H29" s="7" t="inlineStr">
        <is>
          <t>(Pakistan chạy dưới mã BU2) phong độ rất tốt</t>
        </is>
      </c>
    </row>
    <row r="30">
      <c r="A30" s="10" t="inlineStr">
        <is>
          <t>BU5</t>
        </is>
      </c>
      <c r="B30" s="10" t="inlineStr">
        <is>
          <t>Tháng 8</t>
        </is>
      </c>
      <c r="C30" s="18" t="n">
        <v>8212987</v>
      </c>
      <c r="D30" s="19" t="n">
        <v>87</v>
      </c>
      <c r="E30" s="18" t="n">
        <v>94402</v>
      </c>
      <c r="F30" s="19" t="n">
        <v>24</v>
      </c>
      <c r="G30" s="37" t="n">
        <v>342208</v>
      </c>
      <c r="H30" s="7" t="inlineStr">
        <is>
          <t>Tách riêng BU5: Chạy Pakistan (221k), test Ai Cập, Ma Rốc</t>
        </is>
      </c>
    </row>
    <row r="31">
      <c r="A31" s="10" t="inlineStr">
        <is>
          <t>BU3</t>
        </is>
      </c>
      <c r="B31" s="10" t="inlineStr">
        <is>
          <t>Tháng 8</t>
        </is>
      </c>
      <c r="C31" s="18" t="n">
        <v>1266106</v>
      </c>
      <c r="D31" s="19" t="n">
        <v>2</v>
      </c>
      <c r="E31" s="18" t="n">
        <v>633053</v>
      </c>
      <c r="F31" s="19" t="n">
        <v>2</v>
      </c>
      <c r="G31" s="37" t="n">
        <v>633053</v>
      </c>
      <c r="H31" s="7" t="inlineStr">
        <is>
          <t>Mới khởi động test từ 18/08/2026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2026-09-10T05:45:56Z</dcterms:created>
  <dcterms:modified xmlns:dcterms="http://purl.org/dc/terms/" xmlns:xsi="http://www.w3.org/2001/XMLSchema-instance" xsi:type="dcterms:W3CDTF">2026-09-10T05:45:56Z</dcterms:modified>
</cp:coreProperties>
</file>