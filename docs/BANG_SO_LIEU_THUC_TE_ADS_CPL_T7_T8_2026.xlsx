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KHUYEN_NGHI" sheetId="1" state="visible" r:id="rId1"/>
    <sheet xmlns:r="http://schemas.openxmlformats.org/officeDocument/2006/relationships" name="TONG_HOP_BU_T7_VS_T8" sheetId="2" state="visible" r:id="rId2"/>
    <sheet xmlns:r="http://schemas.openxmlformats.org/officeDocument/2006/relationships" name="HIEN_TRANG_38_TOUR_T7_T8" sheetId="3" state="visible" r:id="rId3"/>
    <sheet xmlns:r="http://schemas.openxmlformats.org/officeDocument/2006/relationships" name="RAW_DATA_114_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đ&quot;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E3A8A"/>
      <sz val="12"/>
    </font>
    <font>
      <name val="Calibri"/>
      <color rgb="001E293B"/>
      <sz val="10.5"/>
    </font>
    <font>
      <name val="Calibri"/>
      <b val="1"/>
      <color rgb="00B91C1C"/>
      <sz val="10.5"/>
    </font>
    <font>
      <name val="Calibri"/>
      <b val="1"/>
      <color rgb="00FFFFFF"/>
      <sz val="11"/>
    </font>
    <font>
      <name val="Calibri"/>
      <b val="1"/>
      <color rgb="001E293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/>
    </xf>
    <xf numFmtId="0" fontId="6" fillId="5" borderId="2" pivotButton="0" quotePrefix="0" xfId="0"/>
    <xf numFmtId="164" fontId="6" fillId="5" borderId="2" applyAlignment="1" pivotButton="0" quotePrefix="0" xfId="0">
      <alignment horizontal="right" vertical="center"/>
    </xf>
    <xf numFmtId="3" fontId="6" fillId="5" borderId="2" applyAlignment="1" pivotButton="0" quotePrefix="0" xfId="0">
      <alignment horizontal="center" vertical="center" wrapText="1"/>
    </xf>
    <xf numFmtId="165" fontId="6" fillId="5" borderId="2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20" customWidth="1" min="4" max="4"/>
    <col width="22" customWidth="1" min="5" max="5"/>
    <col width="45" customWidth="1" min="6" max="6"/>
    <col width="35" customWidth="1" min="7" max="7"/>
  </cols>
  <sheetData>
    <row r="1">
      <c r="A1" s="1" t="inlineStr">
        <is>
          <t>KHUNG THAM CHIẾU CPL VÀ TỶ LỆ CHỐT SALE (BENCHMARK) DÀNH CHO BUM (Q4/2026)</t>
        </is>
      </c>
    </row>
    <row r="2"/>
    <row r="4">
      <c r="A4" s="2" t="inlineStr">
        <is>
          <t>📌 LƯU Ý SỐNG CÒN: PHÂN BIỆT RẠCH RÒI 2 LOẠI CPL ĐỂ KHÔNG TÍNH SAI NGÂN SÁCH</t>
        </is>
      </c>
    </row>
    <row r="5">
      <c r="A5" s="3" t="inlineStr">
        <is>
          <t>1. CPL Message (Inbox Fanpage): Giá để 1 khách nhắn tin chào hỏi vào Fanpage (Thực tế FIT Tour dao động từ 35.000 đ - 95.000 đ/msg).</t>
        </is>
      </c>
    </row>
    <row r="6">
      <c r="A6" s="3" t="inlineStr">
        <is>
          <t>2. CPL Lead (Data có SĐT CRM): Giá để lấy được 1 Số Điện Thoại hợp lệ đưa vào CRM cho Sale gọi điện tư vấn (Dao động từ 120.000 đ - 350.000 đ/lead).</t>
        </is>
      </c>
    </row>
    <row r="7">
      <c r="A7" s="4" t="inlineStr">
        <is>
          <t>👉 QUY ĐỊNH CHUẨN: Cột L trong Bảng Dự Toán Google Sheet là CPL LEAD SĐT. BUM tuyệt đối không lấy giá CPL Message để tính vì sẽ gây thiếu hụt ngân sách!</t>
        </is>
      </c>
    </row>
    <row r="9" ht="28" customHeight="1">
      <c r="A9" s="5" t="inlineStr">
        <is>
          <t>Mã BU</t>
        </is>
      </c>
      <c r="B9" s="5" t="inlineStr">
        <is>
          <t>Tên Tuyến Tour Cụ Thể</t>
        </is>
      </c>
      <c r="C9" s="5" t="inlineStr">
        <is>
          <t>CPL Lead Khuyến Nghị (Cột L)</t>
        </is>
      </c>
      <c r="D9" s="5" t="inlineStr">
        <is>
          <t>Tỷ Lệ Chốt Sale Dự Kiến (Cột J)</t>
        </is>
      </c>
      <c r="E9" s="5" t="inlineStr">
        <is>
          <t>CPL Message Tham Khảo</t>
        </is>
      </c>
      <c r="F9" s="5" t="inlineStr">
        <is>
          <t>Đánh Giá Thực Tế Từ Dữ Liệu T7 &amp; T8</t>
        </is>
      </c>
      <c r="G9" s="5" t="inlineStr">
        <is>
          <t>Khuyến Nghị Hành Động Cho BUM Quý 4</t>
        </is>
      </c>
    </row>
    <row r="10">
      <c r="A10" s="6" t="inlineStr">
        <is>
          <t>BU1</t>
        </is>
      </c>
      <c r="B10" s="7" t="inlineStr">
        <is>
          <t>Cửu Trại Câu</t>
        </is>
      </c>
      <c r="C10" s="6" t="inlineStr">
        <is>
          <t>130.000 đ - 150.000 đ</t>
        </is>
      </c>
      <c r="D10" s="8" t="inlineStr">
        <is>
          <t>10.0% - 12.0%</t>
        </is>
      </c>
      <c r="E10" s="8" t="inlineStr">
        <is>
          <t>40.000 đ - 55.000 đ</t>
        </is>
      </c>
      <c r="F10" s="7" t="inlineStr">
        <is>
          <t>Tuyến HOT nhất T8 đạt 128.6k/lead, 35% tin nhắn chuyển thành SĐT</t>
        </is>
      </c>
      <c r="G10" s="7" t="inlineStr">
        <is>
          <t>Chạy sớm trước ngày bay 35-40 ngày để chốt mùa lá đỏ đẹp nhất</t>
        </is>
      </c>
    </row>
    <row r="11">
      <c r="A11" s="9" t="inlineStr">
        <is>
          <t>BU1</t>
        </is>
      </c>
      <c r="B11" s="10" t="inlineStr">
        <is>
          <t>Lệ Giang - Sa Khê</t>
        </is>
      </c>
      <c r="C11" s="9" t="inlineStr">
        <is>
          <t>150.000 đ - 180.000 đ</t>
        </is>
      </c>
      <c r="D11" s="11" t="inlineStr">
        <is>
          <t>8.0% - 10.0%</t>
        </is>
      </c>
      <c r="E11" s="11" t="inlineStr">
        <is>
          <t>55.000 đ - 65.000 đ</t>
        </is>
      </c>
      <c r="F11" s="10" t="inlineStr">
        <is>
          <t>Tuyến truyền thống, phong độ T7 là 150.7k/lead rất ổn định</t>
        </is>
      </c>
      <c r="G11" s="10" t="inlineStr">
        <is>
          <t>Duy trì ngân sách đều 10-15 triệu/tháng</t>
        </is>
      </c>
    </row>
    <row r="12">
      <c r="A12" s="6" t="inlineStr">
        <is>
          <t>BU1</t>
        </is>
      </c>
      <c r="B12" s="7" t="inlineStr">
        <is>
          <t>Bắc Kinh - Thượng Hải</t>
        </is>
      </c>
      <c r="C12" s="6" t="inlineStr">
        <is>
          <t>160.000 đ - 190.000 đ</t>
        </is>
      </c>
      <c r="D12" s="8" t="inlineStr">
        <is>
          <t>8.0% - 10.0%</t>
        </is>
      </c>
      <c r="E12" s="8" t="inlineStr">
        <is>
          <t>90.000 đ - 110.000 đ</t>
        </is>
      </c>
      <c r="F12" s="7" t="inlineStr">
        <is>
          <t>T8 đạt 160.2k/lead, khách hỏi ít nhưng tỷ lệ ra SĐT tới 69%</t>
        </is>
      </c>
      <c r="G12" s="7" t="inlineStr">
        <is>
          <t>Target tệp khách trung niên từ 35 tuổi trở lên</t>
        </is>
      </c>
    </row>
    <row r="13">
      <c r="A13" s="9" t="inlineStr">
        <is>
          <t>BU1</t>
        </is>
      </c>
      <c r="B13" s="10" t="inlineStr">
        <is>
          <t>Thanh Tạng / Tân Cương</t>
        </is>
      </c>
      <c r="C13" s="9" t="inlineStr">
        <is>
          <t>180.000 đ - 230.000 đ</t>
        </is>
      </c>
      <c r="D13" s="11" t="inlineStr">
        <is>
          <t>6.0% - 8.0%</t>
        </is>
      </c>
      <c r="E13" s="11" t="inlineStr">
        <is>
          <t>45.000 đ - 65.000 đ</t>
        </is>
      </c>
      <c r="F13" s="10" t="inlineStr">
        <is>
          <t>Bài ảnh tàu Thanh Tạng kéo lead rất rẻ (76k), video chất lượng cao (135k)</t>
        </is>
      </c>
      <c r="G13" s="10" t="inlineStr">
        <is>
          <t>Dùng bài ảnh mồi tương tác, bài video để chốt khách nét</t>
        </is>
      </c>
    </row>
    <row r="14">
      <c r="A14" s="6" t="inlineStr">
        <is>
          <t>BU2</t>
        </is>
      </c>
      <c r="B14" s="7" t="inlineStr">
        <is>
          <t>Nhật Bản (Cung đường vàng)</t>
        </is>
      </c>
      <c r="C14" s="6" t="inlineStr">
        <is>
          <t>180.000 đ - 220.000 đ</t>
        </is>
      </c>
      <c r="D14" s="8" t="inlineStr">
        <is>
          <t>7.0% - 9.0%</t>
        </is>
      </c>
      <c r="E14" s="8" t="inlineStr">
        <is>
          <t>60.000 đ - 75.000 đ</t>
        </is>
      </c>
      <c r="F14" s="7" t="inlineStr">
        <is>
          <t>T7 đạt 153.4k/lead, vào mùa lá đỏ T10-11 cạnh tranh quảng cáo tăng</t>
        </is>
      </c>
      <c r="G14" s="7" t="inlineStr">
        <is>
          <t>Lên camp sớm từ tháng 9, tập trung lịch khởi hành tháng 10-11</t>
        </is>
      </c>
    </row>
    <row r="15">
      <c r="A15" s="9" t="inlineStr">
        <is>
          <t>BU2</t>
        </is>
      </c>
      <c r="B15" s="10" t="inlineStr">
        <is>
          <t>Nhật Bản (Mùa Tuyết / Noel)</t>
        </is>
      </c>
      <c r="C15" s="9" t="inlineStr">
        <is>
          <t>200.000 đ - 250.000 đ</t>
        </is>
      </c>
      <c r="D15" s="11" t="inlineStr">
        <is>
          <t>6.0% - 8.0%</t>
        </is>
      </c>
      <c r="E15" s="11" t="inlineStr">
        <is>
          <t>65.000 đ - 80.000 đ</t>
        </is>
      </c>
      <c r="F15" s="10" t="inlineStr">
        <is>
          <t>Tour Hokkaido &amp; Noel giá trị cao, khách gia đình</t>
        </is>
      </c>
      <c r="G15" s="10" t="inlineStr">
        <is>
          <t>Bán gói gia đình hoặc nhóm bạn</t>
        </is>
      </c>
    </row>
    <row r="16">
      <c r="A16" s="6" t="inlineStr">
        <is>
          <t>BU3</t>
        </is>
      </c>
      <c r="B16" s="7" t="inlineStr">
        <is>
          <t>Tây Âu / Đông Âu / Bắc Âu</t>
        </is>
      </c>
      <c r="C16" s="6" t="inlineStr">
        <is>
          <t>450.000 đ - 550.000 đ</t>
        </is>
      </c>
      <c r="D16" s="8" t="inlineStr">
        <is>
          <t>4.0% - 6.0%</t>
        </is>
      </c>
      <c r="E16" s="8" t="inlineStr">
        <is>
          <t>150.000 đ - 250.000 đ</t>
        </is>
      </c>
      <c r="F16" s="7" t="inlineStr">
        <is>
          <t>Tour giá trị &gt;80tr, visa khắt khe, T8 test đạt 633k/lead</t>
        </is>
      </c>
      <c r="G16" s="7" t="inlineStr">
        <is>
          <t>Chạy trước ngày khởi hành tối thiểu 50-60 ngày để làm thủ tục visa</t>
        </is>
      </c>
    </row>
    <row r="17">
      <c r="A17" s="9" t="inlineStr">
        <is>
          <t>BU4</t>
        </is>
      </c>
      <c r="B17" s="10" t="inlineStr">
        <is>
          <t>Bhutan (Mùa Lễ Hội / Cuối Năm)</t>
        </is>
      </c>
      <c r="C17" s="9" t="inlineStr">
        <is>
          <t>200.000 đ - 230.000 đ</t>
        </is>
      </c>
      <c r="D17" s="11" t="inlineStr">
        <is>
          <t>6.0% - 8.0%</t>
        </is>
      </c>
      <c r="E17" s="11" t="inlineStr">
        <is>
          <t>35.000 đ - 40.000 đ</t>
        </is>
      </c>
      <c r="F17" s="10" t="inlineStr">
        <is>
          <t>T7 thu 41 lead với CPL 225.6k, tin nhắn siêu rẻ (37k/msg)</t>
        </is>
      </c>
      <c r="G17" s="10" t="inlineStr">
        <is>
          <t>Tuyến độc quyền thế mạnh, khách tin tưởng cao</t>
        </is>
      </c>
    </row>
    <row r="18">
      <c r="A18" s="6" t="inlineStr">
        <is>
          <t>BU4</t>
        </is>
      </c>
      <c r="B18" s="7" t="inlineStr">
        <is>
          <t>Ladakh (Mùa Hè / Mùa Thu)</t>
        </is>
      </c>
      <c r="C18" s="6" t="inlineStr">
        <is>
          <t>150.000 đ - 200.000 đ</t>
        </is>
      </c>
      <c r="D18" s="8" t="inlineStr">
        <is>
          <t>7.0% - 9.0%</t>
        </is>
      </c>
      <c r="E18" s="8" t="inlineStr">
        <is>
          <t>65.000 đ - 80.000 đ</t>
        </is>
      </c>
      <c r="F18" s="7" t="inlineStr">
        <is>
          <t>T7 đạt 156k/lead, bài review khách đạt 115k/lead</t>
        </is>
      </c>
      <c r="G18" s="7" t="inlineStr">
        <is>
          <t>Lấy feedback và ảnh đoàn đã đi làm tư liệu quảng cáo</t>
        </is>
      </c>
    </row>
    <row r="19">
      <c r="A19" s="9" t="inlineStr">
        <is>
          <t>BU4</t>
        </is>
      </c>
      <c r="B19" s="10" t="inlineStr">
        <is>
          <t>Sri Lanka</t>
        </is>
      </c>
      <c r="C19" s="9" t="inlineStr">
        <is>
          <t>280.000 đ - 350.000 đ</t>
        </is>
      </c>
      <c r="D19" s="11" t="inlineStr">
        <is>
          <t>6.0% - 8.0%</t>
        </is>
      </c>
      <c r="E19" s="11" t="inlineStr">
        <is>
          <t>50.000 đ - 65.000 đ</t>
        </is>
      </c>
      <c r="F19" s="10" t="inlineStr">
        <is>
          <t>T8 mới test (481k/lead), đang trong pha học máy tệp khách</t>
        </is>
      </c>
      <c r="G19" s="10" t="inlineStr">
        <is>
          <t>Cần chạy ổn định 2-3 tuần để đưa CPL về quanh mức 300k</t>
        </is>
      </c>
    </row>
    <row r="20">
      <c r="A20" s="6" t="inlineStr">
        <is>
          <t>BU5</t>
        </is>
      </c>
      <c r="B20" s="7" t="inlineStr">
        <is>
          <t>Ai Cập Huyền Bí (Thu - Đông)</t>
        </is>
      </c>
      <c r="C20" s="6" t="inlineStr">
        <is>
          <t>250.000 đ - 320.000 đ</t>
        </is>
      </c>
      <c r="D20" s="8" t="inlineStr">
        <is>
          <t>7.0% - 9.0%</t>
        </is>
      </c>
      <c r="E20" s="8" t="inlineStr">
        <is>
          <t>80.000 đ - 100.000 đ</t>
        </is>
      </c>
      <c r="F20" s="7" t="inlineStr">
        <is>
          <t>T10-T2 là mùa đẹp nhất năm, CPL sẽ hạ mạnh từ mốc 508k của T8</t>
        </is>
      </c>
      <c r="G20" s="7" t="inlineStr">
        <is>
          <t>Đẩy mạnh tour du thuyền sông Nile và bay thẳng</t>
        </is>
      </c>
    </row>
    <row r="21">
      <c r="A21" s="9" t="inlineStr">
        <is>
          <t>BU5</t>
        </is>
      </c>
      <c r="B21" s="10" t="inlineStr">
        <is>
          <t>Ma Rốc Sa Mạc Sahara</t>
        </is>
      </c>
      <c r="C21" s="9" t="inlineStr">
        <is>
          <t>280.000 đ - 350.000 đ</t>
        </is>
      </c>
      <c r="D21" s="11" t="inlineStr">
        <is>
          <t>6.0% - 8.0%</t>
        </is>
      </c>
      <c r="E21" s="11" t="inlineStr">
        <is>
          <t>90.000 đ - 110.000 đ</t>
        </is>
      </c>
      <c r="F21" s="10" t="inlineStr">
        <is>
          <t>Tuyến độc lạ cao cấp, mùa thu mát mẻ</t>
        </is>
      </c>
      <c r="G21" s="10" t="inlineStr">
        <is>
          <t>Target tệp khách thích khám phá trải nghiệm độc lạ</t>
        </is>
      </c>
    </row>
    <row r="22">
      <c r="A22" s="6" t="inlineStr">
        <is>
          <t>BU5</t>
        </is>
      </c>
      <c r="B22" s="7" t="inlineStr">
        <is>
          <t>Pakistan (Mùa Thu Hunza)</t>
        </is>
      </c>
      <c r="C22" s="6" t="inlineStr">
        <is>
          <t>200.000 đ - 230.000 đ</t>
        </is>
      </c>
      <c r="D22" s="8" t="inlineStr">
        <is>
          <t>8.0% - 10.0%</t>
        </is>
      </c>
      <c r="E22" s="8" t="inlineStr">
        <is>
          <t>75.000 đ - 100.000 đ</t>
        </is>
      </c>
      <c r="F22" s="7" t="inlineStr">
        <is>
          <t>Tuyến giữ phong độ tốt nhất BU5 (T7: 212k, T8: 221k, thu 101 leads)</t>
        </is>
      </c>
      <c r="G22" s="7" t="inlineStr">
        <is>
          <t>Tuyến xương sống mùa thu của BU5, cấp ngân sách ưu tiên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18" customWidth="1" min="5" max="5"/>
    <col width="22" customWidth="1" min="6" max="6"/>
    <col width="18" customWidth="1" min="7" max="7"/>
    <col width="22" customWidth="1" min="8" max="8"/>
    <col width="18" customWidth="1" min="9" max="9"/>
    <col width="45" customWidth="1" min="10" max="10"/>
  </cols>
  <sheetData>
    <row r="1">
      <c r="A1" s="1" t="inlineStr">
        <is>
          <t>BẢNG TỔNG HỢP SO SÁNH HIỆU SUẤT ADS &amp; LEADS THEO BU: THÁNG 7 VS THÁNG 8/2026</t>
        </is>
      </c>
    </row>
    <row r="2"/>
    <row r="4" ht="28" customHeight="1">
      <c r="A4" s="5" t="inlineStr">
        <is>
          <t>BU</t>
        </is>
      </c>
      <c r="B4" s="5" t="inlineStr">
        <is>
          <t>Kỳ Tháng</t>
        </is>
      </c>
      <c r="C4" s="5" t="inlineStr">
        <is>
          <t>Số Chiến Dịch</t>
        </is>
      </c>
      <c r="D4" s="5" t="inlineStr">
        <is>
          <t>Chi Phí Ads (VND)</t>
        </is>
      </c>
      <c r="E4" s="5" t="inlineStr">
        <is>
          <t>Số Tin Nhắn (Msg)</t>
        </is>
      </c>
      <c r="F4" s="5" t="inlineStr">
        <is>
          <t>Giá / Tin Nhắn (CPL Msg)</t>
        </is>
      </c>
      <c r="G4" s="5" t="inlineStr">
        <is>
          <t>Số Lead SĐT (CRM)</t>
        </is>
      </c>
      <c r="H4" s="5" t="inlineStr">
        <is>
          <t>Giá / Lead SĐT (CPL Lead)</t>
        </is>
      </c>
      <c r="I4" s="5" t="inlineStr">
        <is>
          <t>Tỷ Lệ Lead / Msg (%)</t>
        </is>
      </c>
      <c r="J4" s="5" t="inlineStr">
        <is>
          <t>Đánh Giá Xu Hướng &amp; Diễn Biến Thực Tế</t>
        </is>
      </c>
    </row>
    <row r="5">
      <c r="A5" s="6" t="inlineStr">
        <is>
          <t>BU1</t>
        </is>
      </c>
      <c r="B5" s="6" t="inlineStr">
        <is>
          <t>Tháng 7/2026</t>
        </is>
      </c>
      <c r="C5" s="8" t="inlineStr">
        <is>
          <t>3</t>
        </is>
      </c>
      <c r="D5" s="12" t="n">
        <v>49598581</v>
      </c>
      <c r="E5" s="13" t="n">
        <v>1104</v>
      </c>
      <c r="F5" s="14" t="n">
        <v>44926</v>
      </c>
      <c r="G5" s="13" t="n">
        <v>311</v>
      </c>
      <c r="H5" s="12" t="n">
        <v>159481</v>
      </c>
      <c r="I5" s="15" t="n">
        <v>0.2817028985507246</v>
      </c>
      <c r="J5" s="7" t="inlineStr">
        <is>
          <t>Cao điểm du lịch hè &amp; dịp lễ 2/9, lượng lead và inbox về rất mạnh, CPL lead 159k.</t>
        </is>
      </c>
    </row>
    <row r="6">
      <c r="A6" s="6" t="inlineStr">
        <is>
          <t>BU2</t>
        </is>
      </c>
      <c r="B6" s="6" t="inlineStr">
        <is>
          <t>Tháng 7/2026</t>
        </is>
      </c>
      <c r="C6" s="8" t="inlineStr">
        <is>
          <t>2</t>
        </is>
      </c>
      <c r="D6" s="12" t="n">
        <v>42460145</v>
      </c>
      <c r="E6" s="13" t="n">
        <v>567</v>
      </c>
      <c r="F6" s="14" t="n">
        <v>74886</v>
      </c>
      <c r="G6" s="13" t="n">
        <v>204</v>
      </c>
      <c r="H6" s="12" t="n">
        <v>208138</v>
      </c>
      <c r="I6" s="15" t="n">
        <v>0.3597883597883598</v>
      </c>
      <c r="J6" s="7" t="inlineStr">
        <is>
          <t>Bao gồm cả Nhật Bản, Mông Cổ và Pakistan (khi chưa tách BU5).</t>
        </is>
      </c>
    </row>
    <row r="7">
      <c r="A7" s="6" t="inlineStr">
        <is>
          <t>BU4</t>
        </is>
      </c>
      <c r="B7" s="6" t="inlineStr">
        <is>
          <t>Tháng 7/2026</t>
        </is>
      </c>
      <c r="C7" s="8" t="inlineStr">
        <is>
          <t>3</t>
        </is>
      </c>
      <c r="D7" s="12" t="n">
        <v>38539899</v>
      </c>
      <c r="E7" s="13" t="n">
        <v>721</v>
      </c>
      <c r="F7" s="14" t="n">
        <v>53453</v>
      </c>
      <c r="G7" s="13" t="n">
        <v>194</v>
      </c>
      <c r="H7" s="12" t="n">
        <v>198659</v>
      </c>
      <c r="I7" s="15" t="n">
        <v>0.2690707350901526</v>
      </c>
      <c r="J7" s="7" t="inlineStr">
        <is>
          <t>Cao điểm mùa hè của Ladakh và mở bán sớm tour Bhutan cuối năm.</t>
        </is>
      </c>
    </row>
    <row r="8">
      <c r="A8" s="6" t="inlineStr">
        <is>
          <t>BU1</t>
        </is>
      </c>
      <c r="B8" s="6" t="inlineStr">
        <is>
          <t>Tháng 8/2026</t>
        </is>
      </c>
      <c r="C8" s="8" t="inlineStr">
        <is>
          <t>3</t>
        </is>
      </c>
      <c r="D8" s="12" t="n">
        <v>8360276</v>
      </c>
      <c r="E8" s="13" t="n">
        <v>134</v>
      </c>
      <c r="F8" s="14" t="n">
        <v>62390</v>
      </c>
      <c r="G8" s="13" t="n">
        <v>45</v>
      </c>
      <c r="H8" s="12" t="n">
        <v>185784</v>
      </c>
      <c r="I8" s="15" t="n">
        <v>0.3358208955223881</v>
      </c>
      <c r="J8" s="7" t="inlineStr">
        <is>
          <t>Giai đoạn chuyển giao sang mùa thu, Cửu Trại Câu nổi trội, Lệ Giang giữ vững.</t>
        </is>
      </c>
    </row>
    <row r="9">
      <c r="A9" s="6" t="inlineStr">
        <is>
          <t>BU2</t>
        </is>
      </c>
      <c r="B9" s="6" t="inlineStr">
        <is>
          <t>Tháng 8/2026</t>
        </is>
      </c>
      <c r="C9" s="8" t="inlineStr">
        <is>
          <t>1</t>
        </is>
      </c>
      <c r="D9" s="12" t="n">
        <v>1381274</v>
      </c>
      <c r="E9" s="13" t="n">
        <v>22</v>
      </c>
      <c r="F9" s="14" t="n">
        <v>62785</v>
      </c>
      <c r="G9" s="13" t="n">
        <v>3</v>
      </c>
      <c r="H9" s="12" t="n">
        <v>460425</v>
      </c>
      <c r="I9" s="15" t="n">
        <v>0.1363636363636364</v>
      </c>
      <c r="J9" s="7" t="inlineStr">
        <is>
          <t>Ngân sách thu hẹp chỉ 1.38 triệu chờ Mùa Lá Đỏ, CPL bị dội cao do thiếu budget máy học.</t>
        </is>
      </c>
    </row>
    <row r="10">
      <c r="A10" s="6" t="inlineStr">
        <is>
          <t>BU3</t>
        </is>
      </c>
      <c r="B10" s="6" t="inlineStr">
        <is>
          <t>Tháng 8/2026</t>
        </is>
      </c>
      <c r="C10" s="8" t="inlineStr">
        <is>
          <t>1</t>
        </is>
      </c>
      <c r="D10" s="12" t="n">
        <v>1266106</v>
      </c>
      <c r="E10" s="13" t="n">
        <v>2</v>
      </c>
      <c r="F10" s="14" t="n">
        <v>633053</v>
      </c>
      <c r="G10" s="13" t="n">
        <v>2</v>
      </c>
      <c r="H10" s="12" t="n">
        <v>633053</v>
      </c>
      <c r="I10" s="15" t="n">
        <v>1</v>
      </c>
      <c r="J10" s="7" t="inlineStr">
        <is>
          <t>Bắt đầu chạy thử nghiệm chiến dịch chọn lọc từ ngày 18/08/2026.</t>
        </is>
      </c>
    </row>
    <row r="11">
      <c r="A11" s="6" t="inlineStr">
        <is>
          <t>BU4</t>
        </is>
      </c>
      <c r="B11" s="6" t="inlineStr">
        <is>
          <t>Tháng 8/2026</t>
        </is>
      </c>
      <c r="C11" s="8" t="inlineStr">
        <is>
          <t>1</t>
        </is>
      </c>
      <c r="D11" s="12" t="n">
        <v>5862587</v>
      </c>
      <c r="E11" s="13" t="n">
        <v>94</v>
      </c>
      <c r="F11" s="14" t="n">
        <v>62368</v>
      </c>
      <c r="G11" s="13" t="n">
        <v>19</v>
      </c>
      <c r="H11" s="12" t="n">
        <v>308557</v>
      </c>
      <c r="I11" s="15" t="n">
        <v>0.2021276595744681</v>
      </c>
      <c r="J11" s="7" t="inlineStr">
        <is>
          <t>Chốt cuối mùa Ladakh, khởi động thử nghiệm tuyến mới Sri Lanka.</t>
        </is>
      </c>
    </row>
    <row r="12">
      <c r="A12" s="6" t="inlineStr">
        <is>
          <t>BU5</t>
        </is>
      </c>
      <c r="B12" s="6" t="inlineStr">
        <is>
          <t>Tháng 8/2026</t>
        </is>
      </c>
      <c r="C12" s="8" t="inlineStr">
        <is>
          <t>1</t>
        </is>
      </c>
      <c r="D12" s="12" t="n">
        <v>8212987</v>
      </c>
      <c r="E12" s="13" t="n">
        <v>87</v>
      </c>
      <c r="F12" s="14" t="n">
        <v>94402</v>
      </c>
      <c r="G12" s="13" t="n">
        <v>24</v>
      </c>
      <c r="H12" s="12" t="n">
        <v>342208</v>
      </c>
      <c r="I12" s="15" t="n">
        <v>0.2758620689655172</v>
      </c>
      <c r="J12" s="7" t="inlineStr">
        <is>
          <t>Tháng đầu tiên tách riêng BU5 chính thức: Chạy mạnh Pakistan (221k), mồi phễu Ai Cập &amp; Ma Rốc.</t>
        </is>
      </c>
    </row>
    <row r="13">
      <c r="A13" s="16" t="inlineStr">
        <is>
          <t>TỔNG</t>
        </is>
      </c>
      <c r="B13" s="17" t="inlineStr">
        <is>
          <t>LŨY KẾ CẢ 2 THÁNG</t>
        </is>
      </c>
      <c r="C13" s="18" t="n"/>
      <c r="D13" s="19">
        <f>SUM(D5:D12)</f>
        <v/>
      </c>
      <c r="E13" s="20">
        <f>SUM(E5:E12)</f>
        <v/>
      </c>
      <c r="F13" s="19">
        <f>ROUND(D13/E13, 0)</f>
        <v/>
      </c>
      <c r="G13" s="20">
        <f>SUM(G5:G12)</f>
        <v/>
      </c>
      <c r="H13" s="19">
        <f>ROUND(D13/G13, 0)</f>
        <v/>
      </c>
      <c r="I13" s="21">
        <f>G13/E13</f>
        <v/>
      </c>
      <c r="J13" s="17" t="inlineStr">
        <is>
          <t>Tổng ngân sách ads đã giải ngân</t>
        </is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38" customWidth="1" min="4" max="4"/>
    <col width="20" customWidth="1" min="5" max="5"/>
    <col width="14" customWidth="1" min="6" max="6"/>
    <col width="20" customWidth="1" min="7" max="7"/>
    <col width="14" customWidth="1" min="8" max="8"/>
    <col width="20" customWidth="1" min="9" max="9"/>
    <col width="16" customWidth="1" min="10" max="10"/>
  </cols>
  <sheetData>
    <row r="1">
      <c r="A1" s="1" t="inlineStr">
        <is>
          <t>HIỆN TRẠNG 38 NHÓM QUẢNG CÁO &amp; TUYẾN TOUR THỰC TẾ (THÁNG 7 &amp; 8/2026)</t>
        </is>
      </c>
    </row>
    <row r="2"/>
    <row r="4" ht="28" customHeight="1">
      <c r="A4" s="5" t="inlineStr">
        <is>
          <t>Kỳ Tháng</t>
        </is>
      </c>
      <c r="B4" s="5" t="inlineStr">
        <is>
          <t>BU</t>
        </is>
      </c>
      <c r="C4" s="5" t="inlineStr">
        <is>
          <t>Tên Nhóm Quảng Cáo (Ad Set Name)</t>
        </is>
      </c>
      <c r="D4" s="5" t="inlineStr">
        <is>
          <t>Chiến Dịch (Campaign Name)</t>
        </is>
      </c>
      <c r="E4" s="5" t="inlineStr">
        <is>
          <t>Chi Phí Ads (VND)</t>
        </is>
      </c>
      <c r="F4" s="5" t="inlineStr">
        <is>
          <t>Tin Nhắn (Msg)</t>
        </is>
      </c>
      <c r="G4" s="5" t="inlineStr">
        <is>
          <t>Giá / Tin Nhắn (CPL Msg)</t>
        </is>
      </c>
      <c r="H4" s="5" t="inlineStr">
        <is>
          <t>Lead SĐT (CRM)</t>
        </is>
      </c>
      <c r="I4" s="5" t="inlineStr">
        <is>
          <t>Giá / Lead SĐT (CPL Lead)</t>
        </is>
      </c>
      <c r="J4" s="5" t="inlineStr">
        <is>
          <t>Tỷ Lệ Lead/Msg (%)</t>
        </is>
      </c>
    </row>
    <row r="5">
      <c r="A5" s="11" t="inlineStr">
        <is>
          <t>Tháng 8/2026</t>
        </is>
      </c>
      <c r="B5" s="9" t="inlineStr">
        <is>
          <t>BU1</t>
        </is>
      </c>
      <c r="C5" s="10" t="inlineStr">
        <is>
          <t>[BU1] MSG | BẮC KINH | 200K |IMG</t>
        </is>
      </c>
      <c r="D5" s="10" t="inlineStr">
        <is>
          <t>[BU1] MSG | Trung Quốc | Q2-Q3-2026 - 21JUL2026</t>
        </is>
      </c>
      <c r="E5" s="22" t="n">
        <v>1442395</v>
      </c>
      <c r="F5" s="23" t="n">
        <v>13</v>
      </c>
      <c r="G5" s="24" t="n">
        <v>110953</v>
      </c>
      <c r="H5" s="25" t="n">
        <v>9</v>
      </c>
      <c r="I5" s="22" t="n">
        <v>160266</v>
      </c>
      <c r="J5" s="26" t="n">
        <v>0.6923076923076923</v>
      </c>
    </row>
    <row r="6">
      <c r="A6" s="8" t="inlineStr">
        <is>
          <t>Tháng 8/2026</t>
        </is>
      </c>
      <c r="B6" s="6" t="inlineStr">
        <is>
          <t>BU1</t>
        </is>
      </c>
      <c r="C6" s="7" t="inlineStr">
        <is>
          <t>[BU1] MSG | CỬU TRẠI CÂU | 200K |IMG</t>
        </is>
      </c>
      <c r="D6" s="7" t="inlineStr">
        <is>
          <t>[BU1] MSG | Trung Quốc | Q2-Q3-2026 - 21JUL2026</t>
        </is>
      </c>
      <c r="E6" s="12" t="n">
        <v>1415174</v>
      </c>
      <c r="F6" s="13" t="n">
        <v>31</v>
      </c>
      <c r="G6" s="14" t="n">
        <v>45651</v>
      </c>
      <c r="H6" s="27" t="n">
        <v>11</v>
      </c>
      <c r="I6" s="12" t="n">
        <v>128652</v>
      </c>
      <c r="J6" s="15" t="n">
        <v>0.3548387096774194</v>
      </c>
    </row>
    <row r="7">
      <c r="A7" s="11" t="inlineStr">
        <is>
          <t>Tháng 8/2026</t>
        </is>
      </c>
      <c r="B7" s="9" t="inlineStr">
        <is>
          <t>BU1</t>
        </is>
      </c>
      <c r="C7" s="10" t="inlineStr">
        <is>
          <t>[BU1] MSG | LỊCH KHỞI HÀNH | COLD |IMG</t>
        </is>
      </c>
      <c r="D7" s="10" t="inlineStr">
        <is>
          <t>[BU1] MSG | Trung Quốc | Q2-Q3-2026 - 21JUL2026</t>
        </is>
      </c>
      <c r="E7" s="22" t="n">
        <v>1406600</v>
      </c>
      <c r="F7" s="23" t="n">
        <v>12</v>
      </c>
      <c r="G7" s="24" t="n">
        <v>117217</v>
      </c>
      <c r="H7" s="25" t="n">
        <v>5</v>
      </c>
      <c r="I7" s="22" t="n">
        <v>281320</v>
      </c>
      <c r="J7" s="26" t="n">
        <v>0.4166666666666667</v>
      </c>
    </row>
    <row r="8">
      <c r="A8" s="8" t="inlineStr">
        <is>
          <t>Tháng 8/2026</t>
        </is>
      </c>
      <c r="B8" s="6" t="inlineStr">
        <is>
          <t>BU1</t>
        </is>
      </c>
      <c r="C8" s="7" t="inlineStr">
        <is>
          <t>[BU1] MSG | NAM TÂN CƯƠNG | 200K |IMG</t>
        </is>
      </c>
      <c r="D8" s="7" t="inlineStr">
        <is>
          <t>[BU1] MSG | Trung Quốc | Q2-Q3-2026 - 21JUL2026</t>
        </is>
      </c>
      <c r="E8" s="12" t="n">
        <v>980029</v>
      </c>
      <c r="F8" s="13" t="n">
        <v>21</v>
      </c>
      <c r="G8" s="14" t="n">
        <v>46668</v>
      </c>
      <c r="H8" s="27" t="n">
        <v>4</v>
      </c>
      <c r="I8" s="12" t="n">
        <v>245007</v>
      </c>
      <c r="J8" s="15" t="n">
        <v>0.1904761904761905</v>
      </c>
    </row>
    <row r="9">
      <c r="A9" s="11" t="inlineStr">
        <is>
          <t>Tháng 8/2026</t>
        </is>
      </c>
      <c r="B9" s="9" t="inlineStr">
        <is>
          <t>BU1</t>
        </is>
      </c>
      <c r="C9" s="10" t="inlineStr">
        <is>
          <t>[BU1] Lệ Giang - Sa Khê Cổ Trấn | LEAD-MSG | COLD | 300K | Hình</t>
        </is>
      </c>
      <c r="D9" s="10" t="inlineStr">
        <is>
          <t>[BU1] MSG | Trung Quốc | Q2-Q3-2026</t>
        </is>
      </c>
      <c r="E9" s="22" t="n">
        <v>852695</v>
      </c>
      <c r="F9" s="23" t="n">
        <v>13</v>
      </c>
      <c r="G9" s="24" t="n">
        <v>65592</v>
      </c>
      <c r="H9" s="25" t="n">
        <v>2</v>
      </c>
      <c r="I9" s="22" t="n">
        <v>426348</v>
      </c>
      <c r="J9" s="26" t="n">
        <v>0.1538461538461539</v>
      </c>
    </row>
    <row r="10">
      <c r="A10" s="8" t="inlineStr">
        <is>
          <t>Tháng 8/2026</t>
        </is>
      </c>
      <c r="B10" s="6" t="inlineStr">
        <is>
          <t>BU1</t>
        </is>
      </c>
      <c r="C10" s="7" t="inlineStr">
        <is>
          <t>[BU1] Chuyến tàu Thanh Tạng | COLD | LEAD-MSG | 300K | VID</t>
        </is>
      </c>
      <c r="D10" s="7" t="inlineStr">
        <is>
          <t>[BU1] MSG | Trung Quốc | Q2-Q3-2026</t>
        </is>
      </c>
      <c r="E10" s="12" t="n">
        <v>828287</v>
      </c>
      <c r="F10" s="13" t="n">
        <v>17</v>
      </c>
      <c r="G10" s="14" t="n">
        <v>48723</v>
      </c>
      <c r="H10" s="27" t="n">
        <v>6</v>
      </c>
      <c r="I10" s="12" t="n">
        <v>138048</v>
      </c>
      <c r="J10" s="15" t="n">
        <v>0.3529411764705883</v>
      </c>
    </row>
    <row r="11">
      <c r="A11" s="11" t="inlineStr">
        <is>
          <t>Tháng 8/2026</t>
        </is>
      </c>
      <c r="B11" s="9" t="inlineStr">
        <is>
          <t>BU1</t>
        </is>
      </c>
      <c r="C11" s="10" t="inlineStr">
        <is>
          <t>[BU1] Trung Quốc | COLD | LEAD-MSG | 500K</t>
        </is>
      </c>
      <c r="D11" s="10" t="inlineStr">
        <is>
          <t>[BU1] MSG | Trung Quốc | 2026 | Daily</t>
        </is>
      </c>
      <c r="E11" s="22" t="n">
        <v>718296</v>
      </c>
      <c r="F11" s="23" t="n">
        <v>23</v>
      </c>
      <c r="G11" s="24" t="n">
        <v>31230</v>
      </c>
      <c r="H11" s="25" t="n">
        <v>6</v>
      </c>
      <c r="I11" s="22" t="n">
        <v>119716</v>
      </c>
      <c r="J11" s="26" t="n">
        <v>0.2608695652173913</v>
      </c>
    </row>
    <row r="12">
      <c r="A12" s="8" t="inlineStr">
        <is>
          <t>Tháng 8/2026</t>
        </is>
      </c>
      <c r="B12" s="6" t="inlineStr">
        <is>
          <t>BU1</t>
        </is>
      </c>
      <c r="C12" s="7" t="inlineStr">
        <is>
          <t>[BU1] MSG | GIANG NAM| COLD |IMG</t>
        </is>
      </c>
      <c r="D12" s="7" t="inlineStr">
        <is>
          <t>[BU1] MSG | Trung Quốc | Q2-Q3-2026 - 21JUL2026</t>
        </is>
      </c>
      <c r="E12" s="12" t="n">
        <v>716800</v>
      </c>
      <c r="F12" s="13" t="n">
        <v>4</v>
      </c>
      <c r="G12" s="14" t="n">
        <v>179200</v>
      </c>
      <c r="H12" s="27" t="n">
        <v>2</v>
      </c>
      <c r="I12" s="12" t="n">
        <v>358400</v>
      </c>
      <c r="J12" s="15" t="n">
        <v>0.5</v>
      </c>
    </row>
    <row r="13">
      <c r="A13" s="11" t="inlineStr">
        <is>
          <t>Tháng 8/2026</t>
        </is>
      </c>
      <c r="B13" s="9" t="inlineStr">
        <is>
          <t>BU2</t>
        </is>
      </c>
      <c r="C13" s="10" t="inlineStr">
        <is>
          <t>[BU2] Nhật Bản | LEAD-MSG | COLD | 200K</t>
        </is>
      </c>
      <c r="D13" s="10" t="inlineStr">
        <is>
          <t>[BU2] LEAD-MSG | H2-2026</t>
        </is>
      </c>
      <c r="E13" s="22" t="n">
        <v>1381274</v>
      </c>
      <c r="F13" s="23" t="n">
        <v>22</v>
      </c>
      <c r="G13" s="24" t="n">
        <v>62785</v>
      </c>
      <c r="H13" s="25" t="n">
        <v>3</v>
      </c>
      <c r="I13" s="22" t="n">
        <v>460425</v>
      </c>
      <c r="J13" s="26" t="n">
        <v>0.1363636363636364</v>
      </c>
    </row>
    <row r="14">
      <c r="A14" s="8" t="inlineStr">
        <is>
          <t>Tháng 8/2026</t>
        </is>
      </c>
      <c r="B14" s="6" t="inlineStr">
        <is>
          <t>BU3</t>
        </is>
      </c>
      <c r="C14" s="7" t="inlineStr">
        <is>
          <t>[BU3] LEAD-MSG | H2-2026- Chạy từ 18 AUG 2026 - CHỌN LỌC</t>
        </is>
      </c>
      <c r="D14" s="7" t="inlineStr">
        <is>
          <t>[BU3] LEAD-MSG | H2-2026- Chạy từ 18 AUG 2026 - CHỌN LỌC</t>
        </is>
      </c>
      <c r="E14" s="12" t="n">
        <v>1266106</v>
      </c>
      <c r="F14" s="13" t="n">
        <v>2</v>
      </c>
      <c r="G14" s="14" t="n">
        <v>633053</v>
      </c>
      <c r="H14" s="27" t="n">
        <v>2</v>
      </c>
      <c r="I14" s="12" t="n">
        <v>633053</v>
      </c>
      <c r="J14" s="15" t="n">
        <v>1</v>
      </c>
    </row>
    <row r="15">
      <c r="A15" s="11" t="inlineStr">
        <is>
          <t>Tháng 8/2026</t>
        </is>
      </c>
      <c r="B15" s="9" t="inlineStr">
        <is>
          <t>BU4</t>
        </is>
      </c>
      <c r="C15" s="10" t="inlineStr">
        <is>
          <t>[BU4] Ladakh | LEAD-MSG | TPHCM+30km, 23+ | 700K | Hình + Video | Từ 16 tháng 7 năm 2026</t>
        </is>
      </c>
      <c r="D15" s="10" t="inlineStr">
        <is>
          <t>[BU4] LEAD-MSG | H2-2026 - Chạy từ 16 July 2026 - Tư vấn Facebook Ads</t>
        </is>
      </c>
      <c r="E15" s="22" t="n">
        <v>2935479</v>
      </c>
      <c r="F15" s="23" t="n">
        <v>44</v>
      </c>
      <c r="G15" s="24" t="n">
        <v>66715</v>
      </c>
      <c r="H15" s="25" t="n">
        <v>12</v>
      </c>
      <c r="I15" s="22" t="n">
        <v>244623</v>
      </c>
      <c r="J15" s="26" t="n">
        <v>0.2727272727272727</v>
      </c>
    </row>
    <row r="16">
      <c r="A16" s="8" t="inlineStr">
        <is>
          <t>Tháng 8/2026</t>
        </is>
      </c>
      <c r="B16" s="6" t="inlineStr">
        <is>
          <t>BU4</t>
        </is>
      </c>
      <c r="C16" s="7" t="inlineStr">
        <is>
          <t>[BU4] Srilanka | LEAD-MSG | TPHCM+30km, 23+ | 300K | Hình + Video | Từ 8 tháng 8 năm 2026</t>
        </is>
      </c>
      <c r="D16" s="7" t="inlineStr">
        <is>
          <t>[BU4] LEAD-MSG | H2-2026 - Chạy từ 16 July 2026 - Tư vấn Facebook Ads</t>
        </is>
      </c>
      <c r="E16" s="12" t="n">
        <v>2891068</v>
      </c>
      <c r="F16" s="13" t="n">
        <v>50</v>
      </c>
      <c r="G16" s="14" t="n">
        <v>57821</v>
      </c>
      <c r="H16" s="27" t="n">
        <v>6</v>
      </c>
      <c r="I16" s="12" t="n">
        <v>481845</v>
      </c>
      <c r="J16" s="15" t="n">
        <v>0.12</v>
      </c>
    </row>
    <row r="17">
      <c r="A17" s="11" t="inlineStr">
        <is>
          <t>Tháng 8/2026</t>
        </is>
      </c>
      <c r="B17" s="9" t="inlineStr">
        <is>
          <t>BU4</t>
        </is>
      </c>
      <c r="C17" s="10" t="inlineStr">
        <is>
          <t>[BU4] Bhutan | LEAD-MSG | COLD | 600K | HN + SG | Bài tổng | Cuối năm</t>
        </is>
      </c>
      <c r="D17" s="10" t="inlineStr">
        <is>
          <t>[BU4] LEAD-MSG | H2-2026 - Chạy từ 16 July 2026 - Tư vấn Facebook Ads</t>
        </is>
      </c>
      <c r="E17" s="22" t="n">
        <v>36040</v>
      </c>
      <c r="F17" s="23" t="n">
        <v>0</v>
      </c>
      <c r="G17" s="24" t="n">
        <v>0</v>
      </c>
      <c r="H17" s="25" t="n">
        <v>1</v>
      </c>
      <c r="I17" s="22" t="n">
        <v>36040</v>
      </c>
      <c r="J17" s="26" t="n">
        <v>0</v>
      </c>
    </row>
    <row r="18">
      <c r="A18" s="8" t="inlineStr">
        <is>
          <t>Tháng 8/2026</t>
        </is>
      </c>
      <c r="B18" s="6" t="inlineStr">
        <is>
          <t>BU5</t>
        </is>
      </c>
      <c r="C18" s="7" t="inlineStr">
        <is>
          <t>[BU5] Pakistan | LEAD-MSG | COLD | 400K| HN + SG | Bài tổng | Cuối năm</t>
        </is>
      </c>
      <c r="D18" s="7" t="inlineStr">
        <is>
          <t>[BU5] LEAD-MSG | H2-2026- Chạy từ 17 July 2026 - Tư vấn Facebook Ads</t>
        </is>
      </c>
      <c r="E18" s="12" t="n">
        <v>3099510</v>
      </c>
      <c r="F18" s="13" t="n">
        <v>31</v>
      </c>
      <c r="G18" s="14" t="n">
        <v>99984</v>
      </c>
      <c r="H18" s="27" t="n">
        <v>14</v>
      </c>
      <c r="I18" s="12" t="n">
        <v>221394</v>
      </c>
      <c r="J18" s="15" t="n">
        <v>0.4516129032258064</v>
      </c>
    </row>
    <row r="19">
      <c r="A19" s="11" t="inlineStr">
        <is>
          <t>Tháng 8/2026</t>
        </is>
      </c>
      <c r="B19" s="9" t="inlineStr">
        <is>
          <t>BU5</t>
        </is>
      </c>
      <c r="C19" s="10" t="inlineStr">
        <is>
          <t>[BU5] MA RỐC | LEAD-MSG | COLD | 350K| HN + SG | Bài tổng | MÙA THU</t>
        </is>
      </c>
      <c r="D19" s="10" t="inlineStr">
        <is>
          <t>[BU5] LEAD-MSG | H2-2026- Chạy từ 17 July 2026 - Tư vấn Facebook Ads</t>
        </is>
      </c>
      <c r="E19" s="22" t="n">
        <v>2569787</v>
      </c>
      <c r="F19" s="23" t="n">
        <v>24</v>
      </c>
      <c r="G19" s="24" t="n">
        <v>107074</v>
      </c>
      <c r="H19" s="25" t="n">
        <v>5</v>
      </c>
      <c r="I19" s="22" t="n">
        <v>513957</v>
      </c>
      <c r="J19" s="26" t="n">
        <v>0.2083333333333333</v>
      </c>
    </row>
    <row r="20">
      <c r="A20" s="8" t="inlineStr">
        <is>
          <t>Tháng 8/2026</t>
        </is>
      </c>
      <c r="B20" s="6" t="inlineStr">
        <is>
          <t>BU5</t>
        </is>
      </c>
      <c r="C20" s="7" t="inlineStr">
        <is>
          <t>[BU5] AI CẬP | LEAD-MSG | COLD | 200K| HN + SG | Bài tổng | MÙA THU</t>
        </is>
      </c>
      <c r="D20" s="7" t="inlineStr">
        <is>
          <t>[BU5] LEAD-MSG | H2-2026- Chạy từ 17 July 2026 - Tư vấn Facebook Ads</t>
        </is>
      </c>
      <c r="E20" s="12" t="n">
        <v>2543690</v>
      </c>
      <c r="F20" s="13" t="n">
        <v>31</v>
      </c>
      <c r="G20" s="14" t="n">
        <v>82055</v>
      </c>
      <c r="H20" s="27" t="n">
        <v>5</v>
      </c>
      <c r="I20" s="12" t="n">
        <v>508738</v>
      </c>
      <c r="J20" s="15" t="n">
        <v>0.1612903225806452</v>
      </c>
    </row>
    <row r="21">
      <c r="A21" s="11" t="inlineStr">
        <is>
          <t>Tháng 7/2026</t>
        </is>
      </c>
      <c r="B21" s="9" t="inlineStr">
        <is>
          <t>BU1</t>
        </is>
      </c>
      <c r="C21" s="10" t="inlineStr">
        <is>
          <t>[BU1] Thiên Tây Mùa Hè | COLD | LEAD-MSG | 400K | IMG</t>
        </is>
      </c>
      <c r="D21" s="10" t="inlineStr">
        <is>
          <t>[BU1] MSG | Trung Quốc | Q2-Q3-2026</t>
        </is>
      </c>
      <c r="E21" s="22" t="n">
        <v>11064841</v>
      </c>
      <c r="F21" s="23" t="n">
        <v>139</v>
      </c>
      <c r="G21" s="24" t="n">
        <v>79603</v>
      </c>
      <c r="H21" s="25" t="n">
        <v>48</v>
      </c>
      <c r="I21" s="22" t="n">
        <v>230518</v>
      </c>
      <c r="J21" s="26" t="n">
        <v>0.3453237410071943</v>
      </c>
    </row>
    <row r="22">
      <c r="A22" s="8" t="inlineStr">
        <is>
          <t>Tháng 7/2026</t>
        </is>
      </c>
      <c r="B22" s="6" t="inlineStr">
        <is>
          <t>BU1</t>
        </is>
      </c>
      <c r="C22" s="7" t="inlineStr">
        <is>
          <t>[BU1] Trung Quốc | COLD | LEAD-MSG | 500K</t>
        </is>
      </c>
      <c r="D22" s="7" t="inlineStr">
        <is>
          <t>[BU1] MSG | Trung Quốc | 2026 | Daily</t>
        </is>
      </c>
      <c r="E22" s="12" t="n">
        <v>10905406</v>
      </c>
      <c r="F22" s="13" t="n">
        <v>267</v>
      </c>
      <c r="G22" s="14" t="n">
        <v>40844</v>
      </c>
      <c r="H22" s="27" t="n">
        <v>70</v>
      </c>
      <c r="I22" s="12" t="n">
        <v>155792</v>
      </c>
      <c r="J22" s="15" t="n">
        <v>0.2621722846441947</v>
      </c>
    </row>
    <row r="23">
      <c r="A23" s="11" t="inlineStr">
        <is>
          <t>Tháng 7/2026</t>
        </is>
      </c>
      <c r="B23" s="9" t="inlineStr">
        <is>
          <t>BU1</t>
        </is>
      </c>
      <c r="C23" s="10" t="inlineStr">
        <is>
          <t>[BU1] Tour 2/9 | COLD | LEAD-MSG | 300K | IMG-Tổng hợp</t>
        </is>
      </c>
      <c r="D23" s="10" t="inlineStr">
        <is>
          <t>[BU1] MSG | Trung Quốc | Q2-Q3-2026</t>
        </is>
      </c>
      <c r="E23" s="22" t="n">
        <v>10042059</v>
      </c>
      <c r="F23" s="23" t="n">
        <v>188</v>
      </c>
      <c r="G23" s="24" t="n">
        <v>53415</v>
      </c>
      <c r="H23" s="25" t="n">
        <v>59</v>
      </c>
      <c r="I23" s="22" t="n">
        <v>170204</v>
      </c>
      <c r="J23" s="26" t="n">
        <v>0.3138297872340425</v>
      </c>
    </row>
    <row r="24">
      <c r="A24" s="8" t="inlineStr">
        <is>
          <t>Tháng 7/2026</t>
        </is>
      </c>
      <c r="B24" s="6" t="inlineStr">
        <is>
          <t>BU1</t>
        </is>
      </c>
      <c r="C24" s="7" t="inlineStr">
        <is>
          <t>[BU1] Lệ Giang - Sa Khê Cổ Trấn | LEAD-MSG | COLD | 300K | Hình</t>
        </is>
      </c>
      <c r="D24" s="7" t="inlineStr">
        <is>
          <t>[BU1] MSG | Trung Quốc | Q2-Q3-2026</t>
        </is>
      </c>
      <c r="E24" s="12" t="n">
        <v>7991272</v>
      </c>
      <c r="F24" s="13" t="n">
        <v>131</v>
      </c>
      <c r="G24" s="14" t="n">
        <v>61002</v>
      </c>
      <c r="H24" s="27" t="n">
        <v>53</v>
      </c>
      <c r="I24" s="12" t="n">
        <v>150779</v>
      </c>
      <c r="J24" s="15" t="n">
        <v>0.4045801526717557</v>
      </c>
    </row>
    <row r="25">
      <c r="A25" s="11" t="inlineStr">
        <is>
          <t>Tháng 7/2026</t>
        </is>
      </c>
      <c r="B25" s="9" t="inlineStr">
        <is>
          <t>BU1</t>
        </is>
      </c>
      <c r="C25" s="10" t="inlineStr">
        <is>
          <t>[BU1] Chuyến tàu Thanh Tạng | COLD | LEAD-MSG | 300K | VID</t>
        </is>
      </c>
      <c r="D25" s="10" t="inlineStr">
        <is>
          <t>[BU1] MSG | Trung Quốc | Q2-Q3-2026</t>
        </is>
      </c>
      <c r="E25" s="22" t="n">
        <v>6492563</v>
      </c>
      <c r="F25" s="23" t="n">
        <v>105</v>
      </c>
      <c r="G25" s="24" t="n">
        <v>61834</v>
      </c>
      <c r="H25" s="25" t="n">
        <v>48</v>
      </c>
      <c r="I25" s="22" t="n">
        <v>135262</v>
      </c>
      <c r="J25" s="26" t="n">
        <v>0.4571428571428571</v>
      </c>
    </row>
    <row r="26">
      <c r="A26" s="8" t="inlineStr">
        <is>
          <t>Tháng 7/2026</t>
        </is>
      </c>
      <c r="B26" s="6" t="inlineStr">
        <is>
          <t>BU1</t>
        </is>
      </c>
      <c r="C26" s="7" t="inlineStr">
        <is>
          <t>[BU1] Chuyến tàu Thanh Tạng | COLD | LEAD-MSG | 300K | IMG</t>
        </is>
      </c>
      <c r="D26" s="7" t="inlineStr">
        <is>
          <t>[BU1] MSG | Trung Quốc | Q2-Q3-2026</t>
        </is>
      </c>
      <c r="E26" s="12" t="n">
        <v>2066737</v>
      </c>
      <c r="F26" s="13" t="n">
        <v>268</v>
      </c>
      <c r="G26" s="14" t="n">
        <v>7712</v>
      </c>
      <c r="H26" s="27" t="n">
        <v>27</v>
      </c>
      <c r="I26" s="12" t="n">
        <v>76546</v>
      </c>
      <c r="J26" s="15" t="n">
        <v>0.1007462686567164</v>
      </c>
    </row>
    <row r="27">
      <c r="A27" s="11" t="inlineStr">
        <is>
          <t>Tháng 7/2026</t>
        </is>
      </c>
      <c r="B27" s="9" t="inlineStr">
        <is>
          <t>BU1</t>
        </is>
      </c>
      <c r="C27" s="10" t="inlineStr">
        <is>
          <t>[BU1] MSG | GIANG NAM| COLD |IMG</t>
        </is>
      </c>
      <c r="D27" s="10" t="inlineStr">
        <is>
          <t>[BU1] MSG | Trung Quốc | Q2-Q3-2026 - 21JUL2026</t>
        </is>
      </c>
      <c r="E27" s="22" t="n">
        <v>1035703</v>
      </c>
      <c r="F27" s="23" t="n">
        <v>6</v>
      </c>
      <c r="G27" s="24" t="n">
        <v>172617</v>
      </c>
      <c r="H27" s="25" t="n">
        <v>6</v>
      </c>
      <c r="I27" s="22" t="n">
        <v>172617</v>
      </c>
      <c r="J27" s="26" t="n">
        <v>1</v>
      </c>
    </row>
    <row r="28">
      <c r="A28" s="8" t="inlineStr">
        <is>
          <t>Tháng 7/2026</t>
        </is>
      </c>
      <c r="B28" s="6" t="inlineStr">
        <is>
          <t>BU2</t>
        </is>
      </c>
      <c r="C28" s="7" t="inlineStr">
        <is>
          <t>[BU2] Mông Cổ | LEAD-MSG | COLD | 300K| HN + SG | Bài tổng | Cuối năm - Bản sao</t>
        </is>
      </c>
      <c r="D28" s="7" t="inlineStr">
        <is>
          <t>[BU2] LEAD-MSG | H2-2026- Chạy từ 17 July 2026 - Tư vấn Facebook Ads</t>
        </is>
      </c>
      <c r="E28" s="12" t="n">
        <v>8819302</v>
      </c>
      <c r="F28" s="13" t="n">
        <v>127</v>
      </c>
      <c r="G28" s="14" t="n">
        <v>69443</v>
      </c>
      <c r="H28" s="27" t="n">
        <v>27</v>
      </c>
      <c r="I28" s="12" t="n">
        <v>326641</v>
      </c>
      <c r="J28" s="15" t="n">
        <v>0.2125984251968504</v>
      </c>
    </row>
    <row r="29">
      <c r="A29" s="11" t="inlineStr">
        <is>
          <t>Tháng 7/2026</t>
        </is>
      </c>
      <c r="B29" s="9" t="inlineStr">
        <is>
          <t>BU2</t>
        </is>
      </c>
      <c r="C29" s="10" t="inlineStr">
        <is>
          <t>[BU2] Pakistan | LEAD-MSG | COLD | 600K| HN + SG | Bài tổng | Cuối năm</t>
        </is>
      </c>
      <c r="D29" s="10" t="inlineStr">
        <is>
          <t>[BU2] LEAD-MSG | H2-2026- Chạy từ 17 July 2026 - Tư vấn Facebook Ads</t>
        </is>
      </c>
      <c r="E29" s="22" t="n">
        <v>8666373</v>
      </c>
      <c r="F29" s="23" t="n">
        <v>144</v>
      </c>
      <c r="G29" s="24" t="n">
        <v>60183</v>
      </c>
      <c r="H29" s="25" t="n">
        <v>40</v>
      </c>
      <c r="I29" s="22" t="n">
        <v>216659</v>
      </c>
      <c r="J29" s="26" t="n">
        <v>0.2777777777777778</v>
      </c>
    </row>
    <row r="30">
      <c r="A30" s="8" t="inlineStr">
        <is>
          <t>Tháng 7/2026</t>
        </is>
      </c>
      <c r="B30" s="6" t="inlineStr">
        <is>
          <t>BU2</t>
        </is>
      </c>
      <c r="C30" s="7" t="inlineStr">
        <is>
          <t>[BU2] Nhật Bản | LEAD-MSG | COLD | 300K</t>
        </is>
      </c>
      <c r="D30" s="7" t="inlineStr">
        <is>
          <t>[BU2] LEAD-MSG | H2-2026</t>
        </is>
      </c>
      <c r="E30" s="12" t="n">
        <v>8438160</v>
      </c>
      <c r="F30" s="13" t="n">
        <v>133</v>
      </c>
      <c r="G30" s="14" t="n">
        <v>63445</v>
      </c>
      <c r="H30" s="27" t="n">
        <v>55</v>
      </c>
      <c r="I30" s="12" t="n">
        <v>153421</v>
      </c>
      <c r="J30" s="15" t="n">
        <v>0.4135338345864661</v>
      </c>
    </row>
    <row r="31">
      <c r="A31" s="11" t="inlineStr">
        <is>
          <t>Tháng 7/2026</t>
        </is>
      </c>
      <c r="B31" s="9" t="inlineStr">
        <is>
          <t>BU2</t>
        </is>
      </c>
      <c r="C31" s="10" t="inlineStr">
        <is>
          <t>[BU2] Mông Cổ | LEAD-MSG | COLD | 300K</t>
        </is>
      </c>
      <c r="D31" s="10" t="inlineStr">
        <is>
          <t>[BU2] LEAD-MSG | H2-2026</t>
        </is>
      </c>
      <c r="E31" s="22" t="n">
        <v>6729896</v>
      </c>
      <c r="F31" s="23" t="n">
        <v>70</v>
      </c>
      <c r="G31" s="24" t="n">
        <v>96141</v>
      </c>
      <c r="H31" s="25" t="n">
        <v>35</v>
      </c>
      <c r="I31" s="22" t="n">
        <v>192283</v>
      </c>
      <c r="J31" s="26" t="n">
        <v>0.5</v>
      </c>
    </row>
    <row r="32">
      <c r="A32" s="8" t="inlineStr">
        <is>
          <t>Tháng 7/2026</t>
        </is>
      </c>
      <c r="B32" s="6" t="inlineStr">
        <is>
          <t>BU2</t>
        </is>
      </c>
      <c r="C32" s="7" t="inlineStr">
        <is>
          <t>[BU2] Pakistan | LEAD-MSG | COLD | 300K</t>
        </is>
      </c>
      <c r="D32" s="7" t="inlineStr">
        <is>
          <t>[BU2] LEAD-MSG | H2-2026</t>
        </is>
      </c>
      <c r="E32" s="12" t="n">
        <v>6626410</v>
      </c>
      <c r="F32" s="13" t="n">
        <v>57</v>
      </c>
      <c r="G32" s="14" t="n">
        <v>116253</v>
      </c>
      <c r="H32" s="27" t="n">
        <v>37</v>
      </c>
      <c r="I32" s="12" t="n">
        <v>179092</v>
      </c>
      <c r="J32" s="15" t="n">
        <v>0.6491228070175439</v>
      </c>
    </row>
    <row r="33">
      <c r="A33" s="11" t="inlineStr">
        <is>
          <t>Tháng 7/2026</t>
        </is>
      </c>
      <c r="B33" s="9" t="inlineStr">
        <is>
          <t>BU2</t>
        </is>
      </c>
      <c r="C33" s="10" t="inlineStr">
        <is>
          <t>[BU2] Pakistan | LEAD-MSG | COLD | 300K | Copy</t>
        </is>
      </c>
      <c r="D33" s="10" t="inlineStr">
        <is>
          <t>[BU2] LEAD-MSG | H2-2026</t>
        </is>
      </c>
      <c r="E33" s="22" t="n">
        <v>3180004</v>
      </c>
      <c r="F33" s="23" t="n">
        <v>36</v>
      </c>
      <c r="G33" s="24" t="n">
        <v>88333</v>
      </c>
      <c r="H33" s="25" t="n">
        <v>10</v>
      </c>
      <c r="I33" s="22" t="n">
        <v>318000</v>
      </c>
      <c r="J33" s="26" t="n">
        <v>0.2777777777777778</v>
      </c>
    </row>
    <row r="34">
      <c r="A34" s="8" t="inlineStr">
        <is>
          <t>Tháng 7/2026</t>
        </is>
      </c>
      <c r="B34" s="6" t="inlineStr">
        <is>
          <t>BU4</t>
        </is>
      </c>
      <c r="C34" s="7" t="inlineStr">
        <is>
          <t>[BU4] Ladakh | LEAD-MSG | TPHCM+30km, 23+ | 700K | Hình + Video | Từ 16 tháng 7 năm 2026</t>
        </is>
      </c>
      <c r="D34" s="7" t="inlineStr">
        <is>
          <t>[BU4] LEAD-MSG | H2-2026 - Chạy từ 16 July 2026 - Tư vấn Facebook Ads</t>
        </is>
      </c>
      <c r="E34" s="12" t="n">
        <v>10500284</v>
      </c>
      <c r="F34" s="13" t="n">
        <v>139</v>
      </c>
      <c r="G34" s="14" t="n">
        <v>75542</v>
      </c>
      <c r="H34" s="27" t="n">
        <v>67</v>
      </c>
      <c r="I34" s="12" t="n">
        <v>156721</v>
      </c>
      <c r="J34" s="15" t="n">
        <v>0.4820143884892086</v>
      </c>
    </row>
    <row r="35">
      <c r="A35" s="11" t="inlineStr">
        <is>
          <t>Tháng 7/2026</t>
        </is>
      </c>
      <c r="B35" s="9" t="inlineStr">
        <is>
          <t>BU4</t>
        </is>
      </c>
      <c r="C35" s="10" t="inlineStr">
        <is>
          <t>[BU4] Bhutan | LEAD-MSG | COLD | 600K | HN + SG | Bài tổng | Cuối năm</t>
        </is>
      </c>
      <c r="D35" s="10" t="inlineStr">
        <is>
          <t>[BU4] LEAD-MSG | H2-2026 - Chạy từ 16 July 2026 - Tư vấn Facebook Ads</t>
        </is>
      </c>
      <c r="E35" s="22" t="n">
        <v>9249664</v>
      </c>
      <c r="F35" s="23" t="n">
        <v>250</v>
      </c>
      <c r="G35" s="24" t="n">
        <v>36999</v>
      </c>
      <c r="H35" s="25" t="n">
        <v>41</v>
      </c>
      <c r="I35" s="22" t="n">
        <v>225602</v>
      </c>
      <c r="J35" s="26" t="n">
        <v>0.164</v>
      </c>
    </row>
    <row r="36">
      <c r="A36" s="8" t="inlineStr">
        <is>
          <t>Tháng 7/2026</t>
        </is>
      </c>
      <c r="B36" s="6" t="inlineStr">
        <is>
          <t>BU4</t>
        </is>
      </c>
      <c r="C36" s="7" t="inlineStr">
        <is>
          <t>[BU4] Ladakh | LEAD-MSG | TPHCM+17km, 23+ | 600K | Hình + Video | Cuối năm</t>
        </is>
      </c>
      <c r="D36" s="7" t="inlineStr">
        <is>
          <t>[BU4] LEAD-MSG | H2-2026</t>
        </is>
      </c>
      <c r="E36" s="12" t="n">
        <v>5582843</v>
      </c>
      <c r="F36" s="13" t="n">
        <v>59</v>
      </c>
      <c r="G36" s="14" t="n">
        <v>94624</v>
      </c>
      <c r="H36" s="27" t="n">
        <v>16</v>
      </c>
      <c r="I36" s="12" t="n">
        <v>348928</v>
      </c>
      <c r="J36" s="15" t="n">
        <v>0.2711864406779661</v>
      </c>
    </row>
    <row r="37">
      <c r="A37" s="11" t="inlineStr">
        <is>
          <t>Tháng 7/2026</t>
        </is>
      </c>
      <c r="B37" s="9" t="inlineStr">
        <is>
          <t>BU4</t>
        </is>
      </c>
      <c r="C37" s="10" t="inlineStr">
        <is>
          <t>[BU4] Bhutan | LEAD-MSG | COLD | 400K | HN + SG | Bài tổng | Cuối năm</t>
        </is>
      </c>
      <c r="D37" s="10" t="inlineStr">
        <is>
          <t>[BU4] LEAD-MSG | H2-2026</t>
        </is>
      </c>
      <c r="E37" s="22" t="n">
        <v>4366230</v>
      </c>
      <c r="F37" s="23" t="n">
        <v>114</v>
      </c>
      <c r="G37" s="24" t="n">
        <v>38300</v>
      </c>
      <c r="H37" s="25" t="n">
        <v>19</v>
      </c>
      <c r="I37" s="22" t="n">
        <v>229802</v>
      </c>
      <c r="J37" s="26" t="n">
        <v>0.1666666666666667</v>
      </c>
    </row>
    <row r="38">
      <c r="A38" s="8" t="inlineStr">
        <is>
          <t>Tháng 7/2026</t>
        </is>
      </c>
      <c r="B38" s="6" t="inlineStr">
        <is>
          <t>BU4</t>
        </is>
      </c>
      <c r="C38" s="7" t="inlineStr">
        <is>
          <t>[BU4] Bhutan | LEAD-MSG | COLD | 400K | Hình | Bài tổng | Cuối năm</t>
        </is>
      </c>
      <c r="D38" s="7" t="inlineStr">
        <is>
          <t>[BU4] LEAD-MSG | H2-2026</t>
        </is>
      </c>
      <c r="E38" s="12" t="n">
        <v>1994200</v>
      </c>
      <c r="F38" s="13" t="n">
        <v>34</v>
      </c>
      <c r="G38" s="14" t="n">
        <v>58653</v>
      </c>
      <c r="H38" s="27" t="n">
        <v>5</v>
      </c>
      <c r="I38" s="12" t="n">
        <v>398840</v>
      </c>
      <c r="J38" s="15" t="n">
        <v>0.1470588235294118</v>
      </c>
    </row>
    <row r="39">
      <c r="A39" s="11" t="inlineStr">
        <is>
          <t>Tháng 7/2026</t>
        </is>
      </c>
      <c r="B39" s="9" t="inlineStr">
        <is>
          <t>BU4</t>
        </is>
      </c>
      <c r="C39" s="10" t="inlineStr">
        <is>
          <t>[BU4] Ladakh | LEAD-MSG | COLD | 200K | Hình | Cảm ơn khách</t>
        </is>
      </c>
      <c r="D39" s="10" t="inlineStr">
        <is>
          <t>[BU4] LEAD-MSG | H2-2026</t>
        </is>
      </c>
      <c r="E39" s="22" t="n">
        <v>1971812</v>
      </c>
      <c r="F39" s="23" t="n">
        <v>16</v>
      </c>
      <c r="G39" s="24" t="n">
        <v>123238</v>
      </c>
      <c r="H39" s="25" t="n">
        <v>17</v>
      </c>
      <c r="I39" s="22" t="n">
        <v>115989</v>
      </c>
      <c r="J39" s="26" t="n">
        <v>1.0625</v>
      </c>
    </row>
    <row r="40">
      <c r="A40" s="8" t="inlineStr">
        <is>
          <t>Tháng 7/2026</t>
        </is>
      </c>
      <c r="B40" s="6" t="inlineStr">
        <is>
          <t>BU4</t>
        </is>
      </c>
      <c r="C40" s="7" t="inlineStr">
        <is>
          <t>[BU4] Ladakh | LEAD-MSG | COLD | 400K | Hình | Cuối năm</t>
        </is>
      </c>
      <c r="D40" s="7" t="inlineStr">
        <is>
          <t>[BU4] LEAD-MSG | H2-2026</t>
        </is>
      </c>
      <c r="E40" s="12" t="n">
        <v>1969446</v>
      </c>
      <c r="F40" s="13" t="n">
        <v>26</v>
      </c>
      <c r="G40" s="14" t="n">
        <v>75748</v>
      </c>
      <c r="H40" s="27" t="n">
        <v>5</v>
      </c>
      <c r="I40" s="12" t="n">
        <v>393889</v>
      </c>
      <c r="J40" s="15" t="n">
        <v>0.1923076923076923</v>
      </c>
    </row>
    <row r="41">
      <c r="A41" s="11" t="inlineStr">
        <is>
          <t>Tháng 7/2026</t>
        </is>
      </c>
      <c r="B41" s="9" t="inlineStr">
        <is>
          <t>BU4</t>
        </is>
      </c>
      <c r="C41" s="10" t="inlineStr">
        <is>
          <t>[BU4] Ladakh | LEAD-MSG | COLD | 200K | Hết năm</t>
        </is>
      </c>
      <c r="D41" s="10" t="inlineStr">
        <is>
          <t>[BU4] LEAD-MSG | H2-2026</t>
        </is>
      </c>
      <c r="E41" s="22" t="n">
        <v>1937140</v>
      </c>
      <c r="F41" s="23" t="n">
        <v>62</v>
      </c>
      <c r="G41" s="24" t="n">
        <v>31244</v>
      </c>
      <c r="H41" s="25" t="n">
        <v>16</v>
      </c>
      <c r="I41" s="22" t="n">
        <v>121071</v>
      </c>
      <c r="J41" s="26" t="n">
        <v>0.2580645161290323</v>
      </c>
    </row>
    <row r="42">
      <c r="A42" s="8" t="inlineStr">
        <is>
          <t>Tháng 7/2026</t>
        </is>
      </c>
      <c r="B42" s="6" t="inlineStr">
        <is>
          <t>BU4</t>
        </is>
      </c>
      <c r="C42" s="7" t="inlineStr">
        <is>
          <t>[BU4] Bromo Bali | HCM+30km,22+ | LEAD-MSG | 100K | Video</t>
        </is>
      </c>
      <c r="D42" s="7" t="inlineStr">
        <is>
          <t>[BU4] MSG | 2026 | Daily 200K</t>
        </is>
      </c>
      <c r="E42" s="12" t="n">
        <v>968280</v>
      </c>
      <c r="F42" s="13" t="n">
        <v>21</v>
      </c>
      <c r="G42" s="14" t="n">
        <v>46109</v>
      </c>
      <c r="H42" s="27" t="n">
        <v>8</v>
      </c>
      <c r="I42" s="12" t="n">
        <v>121035</v>
      </c>
      <c r="J42" s="15" t="n">
        <v>0.3809523809523809</v>
      </c>
    </row>
    <row r="43">
      <c r="A43" s="16" t="inlineStr">
        <is>
          <t>TỔNG</t>
        </is>
      </c>
      <c r="B43" s="18" t="n"/>
      <c r="C43" s="17" t="inlineStr">
        <is>
          <t>TỔNG CỘNG 38 NHÓM QUẢNG CÁO</t>
        </is>
      </c>
      <c r="D43" s="18" t="n"/>
      <c r="E43" s="19">
        <f>SUM(E5:E42)</f>
        <v/>
      </c>
      <c r="F43" s="20">
        <f>SUM(F5:F42)</f>
        <v/>
      </c>
      <c r="G43" s="19">
        <f>ROUND(E43/F43, 0)</f>
        <v/>
      </c>
      <c r="H43" s="20">
        <f>SUM(H5:H42)</f>
        <v/>
      </c>
      <c r="I43" s="19">
        <f>ROUND(E43/H43, 0)</f>
        <v/>
      </c>
      <c r="J43" s="21">
        <f>H43/F43</f>
        <v/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35" customWidth="1" min="4" max="4"/>
    <col width="38" customWidth="1" min="5" max="5"/>
    <col width="35" customWidth="1" min="6" max="6"/>
    <col width="18" customWidth="1" min="7" max="7"/>
    <col width="12" customWidth="1" min="8" max="8"/>
    <col width="16" customWidth="1" min="9" max="9"/>
    <col width="12" customWidth="1" min="10" max="10"/>
    <col width="16" customWidth="1" min="11" max="11"/>
  </cols>
  <sheetData>
    <row r="1">
      <c r="A1" s="1" t="inlineStr">
        <is>
          <t>DỮ LIỆU GỐC TOÀN BỘ 114 DÒNG QUẢNG CÁO TỪNG TUẦN (DATABASE MARKETING ADS REPORTS)</t>
        </is>
      </c>
    </row>
    <row r="2"/>
    <row r="4" ht="28" customHeight="1">
      <c r="A4" s="5" t="inlineStr">
        <is>
          <t>Tháng</t>
        </is>
      </c>
      <c r="B4" s="5" t="inlineStr">
        <is>
          <t>Tuần</t>
        </is>
      </c>
      <c r="C4" s="5" t="inlineStr">
        <is>
          <t>BU</t>
        </is>
      </c>
      <c r="D4" s="5" t="inlineStr">
        <is>
          <t>Chiến Dịch (Campaign Name)</t>
        </is>
      </c>
      <c r="E4" s="5" t="inlineStr">
        <is>
          <t>Nhóm Quảng Cáo (Ad Set Name)</t>
        </is>
      </c>
      <c r="F4" s="5" t="inlineStr">
        <is>
          <t>Tên Mẫu Quảng Cáo (Ad Name)</t>
        </is>
      </c>
      <c r="G4" s="5" t="inlineStr">
        <is>
          <t>Chi Phí (VND)</t>
        </is>
      </c>
      <c r="H4" s="5" t="inlineStr">
        <is>
          <t>Tin Nhắn</t>
        </is>
      </c>
      <c r="I4" s="5" t="inlineStr">
        <is>
          <t>CPL Msg</t>
        </is>
      </c>
      <c r="J4" s="5" t="inlineStr">
        <is>
          <t>Lead SĐT</t>
        </is>
      </c>
      <c r="K4" s="5" t="inlineStr">
        <is>
          <t>CPL Lead</t>
        </is>
      </c>
    </row>
    <row r="5">
      <c r="A5" s="11" t="inlineStr">
        <is>
          <t>Tháng 8</t>
        </is>
      </c>
      <c r="B5" s="11" t="inlineStr">
        <is>
          <t>Tuần 3</t>
        </is>
      </c>
      <c r="C5" s="11" t="inlineStr">
        <is>
          <t>BU1</t>
        </is>
      </c>
      <c r="D5" s="10" t="inlineStr">
        <is>
          <t>[BU1] MSG | Trung Quốc | Q2-Q3-2026 - 21JUL2026</t>
        </is>
      </c>
      <c r="E5" s="10" t="inlineStr">
        <is>
          <t>[BU1] MSG | BẮC KINH | 200K |IMG</t>
        </is>
      </c>
      <c r="F5" s="10" t="inlineStr">
        <is>
          <t>[BU1] MSG | BẮC KINH | 200K |IMG</t>
        </is>
      </c>
      <c r="G5" s="24" t="n">
        <v>1442395</v>
      </c>
      <c r="H5" s="23" t="n">
        <v>13</v>
      </c>
      <c r="I5" s="24" t="n">
        <v>110953.4615384615</v>
      </c>
      <c r="J5" s="23" t="n">
        <v>9</v>
      </c>
      <c r="K5" s="24" t="n">
        <v>160266.1111111111</v>
      </c>
    </row>
    <row r="6">
      <c r="A6" s="8" t="inlineStr">
        <is>
          <t>Tháng 8</t>
        </is>
      </c>
      <c r="B6" s="8" t="inlineStr">
        <is>
          <t>Tuần 3</t>
        </is>
      </c>
      <c r="C6" s="8" t="inlineStr">
        <is>
          <t>BU1</t>
        </is>
      </c>
      <c r="D6" s="7" t="inlineStr">
        <is>
          <t>[BU1] MSG | Trung Quốc | Q2-Q3-2026 - 21JUL2026</t>
        </is>
      </c>
      <c r="E6" s="7" t="inlineStr">
        <is>
          <t>[BU1] MSG | LỊCH KHỞI HÀNH | COLD |IMG</t>
        </is>
      </c>
      <c r="F6" s="7" t="inlineStr">
        <is>
          <t>[BU1] MSG | LỊCH KHỞI HÀNH | COLD |IMG</t>
        </is>
      </c>
      <c r="G6" s="14" t="n">
        <v>1406600</v>
      </c>
      <c r="H6" s="13" t="n">
        <v>12</v>
      </c>
      <c r="I6" s="14" t="n">
        <v>117216.6666666667</v>
      </c>
      <c r="J6" s="13" t="n">
        <v>5</v>
      </c>
      <c r="K6" s="14" t="n">
        <v>281320</v>
      </c>
    </row>
    <row r="7">
      <c r="A7" s="11" t="inlineStr">
        <is>
          <t>Tháng 8</t>
        </is>
      </c>
      <c r="B7" s="11" t="inlineStr">
        <is>
          <t>Tuần 3</t>
        </is>
      </c>
      <c r="C7" s="11" t="inlineStr">
        <is>
          <t>BU1</t>
        </is>
      </c>
      <c r="D7" s="10" t="inlineStr">
        <is>
          <t>[BU1] MSG | Trung Quốc | Q2-Q3-2026 - 21JUL2026</t>
        </is>
      </c>
      <c r="E7" s="10" t="inlineStr">
        <is>
          <t>[BU1] MSG | NAM TÂN CƯƠNG | 200K |IMG</t>
        </is>
      </c>
      <c r="F7" s="10" t="inlineStr">
        <is>
          <t>[BU1] MSG | NAM TÂN CƯƠNG | 200K |IMG</t>
        </is>
      </c>
      <c r="G7" s="24" t="n">
        <v>980029</v>
      </c>
      <c r="H7" s="23" t="n">
        <v>21</v>
      </c>
      <c r="I7" s="24" t="n">
        <v>46668.04761904762</v>
      </c>
      <c r="J7" s="23" t="n">
        <v>4</v>
      </c>
      <c r="K7" s="24" t="n">
        <v>245007.25</v>
      </c>
    </row>
    <row r="8">
      <c r="A8" s="8" t="inlineStr">
        <is>
          <t>Tháng 8</t>
        </is>
      </c>
      <c r="B8" s="8" t="inlineStr">
        <is>
          <t>Tuần 3</t>
        </is>
      </c>
      <c r="C8" s="8" t="inlineStr">
        <is>
          <t>BU1</t>
        </is>
      </c>
      <c r="D8" s="7" t="inlineStr">
        <is>
          <t>[BU1] MSG | Trung Quốc | Q2-Q3-2026 - 21JUL2026</t>
        </is>
      </c>
      <c r="E8" s="7" t="inlineStr">
        <is>
          <t>[BU1] MSG | CỬU TRẠI CÂU | 200K |IMG</t>
        </is>
      </c>
      <c r="F8" s="7" t="inlineStr">
        <is>
          <t>[BU1] MSG | CỬU TRẠI CÂU 2 | 150K |VID</t>
        </is>
      </c>
      <c r="G8" s="14" t="n">
        <v>869970</v>
      </c>
      <c r="H8" s="13" t="n">
        <v>18</v>
      </c>
      <c r="I8" s="14" t="n">
        <v>48331.66666666666</v>
      </c>
      <c r="J8" s="13" t="n">
        <v>7</v>
      </c>
      <c r="K8" s="14" t="n">
        <v>124281.4285714286</v>
      </c>
    </row>
    <row r="9">
      <c r="A9" s="11" t="inlineStr">
        <is>
          <t>Tháng 8</t>
        </is>
      </c>
      <c r="B9" s="11" t="inlineStr">
        <is>
          <t>Tuần 3</t>
        </is>
      </c>
      <c r="C9" s="11" t="inlineStr">
        <is>
          <t>BU1</t>
        </is>
      </c>
      <c r="D9" s="10" t="inlineStr">
        <is>
          <t>[BU1] MSG | Trung Quốc | Q2-Q3-2026</t>
        </is>
      </c>
      <c r="E9" s="10" t="inlineStr">
        <is>
          <t>[BU1] Lệ Giang - Sa Khê Cổ Trấn | LEAD-MSG | COLD | 300K | Hình</t>
        </is>
      </c>
      <c r="F9" s="10" t="inlineStr">
        <is>
          <t>[BU1] | Trung Quốc - Lệ Giang | VID | Video Lệ Giang 10 tháng 7 năm 2026</t>
        </is>
      </c>
      <c r="G9" s="24" t="n">
        <v>852695</v>
      </c>
      <c r="H9" s="23" t="n">
        <v>13</v>
      </c>
      <c r="I9" s="24" t="n">
        <v>65591.92307692308</v>
      </c>
      <c r="J9" s="23" t="n">
        <v>2</v>
      </c>
      <c r="K9" s="24" t="n">
        <v>426347.5</v>
      </c>
    </row>
    <row r="10">
      <c r="A10" s="8" t="inlineStr">
        <is>
          <t>Tháng 8</t>
        </is>
      </c>
      <c r="B10" s="8" t="inlineStr">
        <is>
          <t>Tuần 3</t>
        </is>
      </c>
      <c r="C10" s="8" t="inlineStr">
        <is>
          <t>BU1</t>
        </is>
      </c>
      <c r="D10" s="7" t="inlineStr">
        <is>
          <t>[BU1] MSG | Trung Quốc | Q2-Q3-2026</t>
        </is>
      </c>
      <c r="E10" s="7" t="inlineStr">
        <is>
          <t>[BU1] Chuyến tàu Thanh Tạng | COLD | LEAD-MSG | 300K | VID</t>
        </is>
      </c>
      <c r="F10" s="7" t="inlineStr">
        <is>
          <t>[BU1] | Chuyến tàu Thanh Tạng | VID</t>
        </is>
      </c>
      <c r="G10" s="14" t="n">
        <v>828287</v>
      </c>
      <c r="H10" s="13" t="n">
        <v>17</v>
      </c>
      <c r="I10" s="14" t="n">
        <v>48722.76470588235</v>
      </c>
      <c r="J10" s="13" t="n">
        <v>6</v>
      </c>
      <c r="K10" s="14" t="n">
        <v>138047.8333333333</v>
      </c>
    </row>
    <row r="11">
      <c r="A11" s="11" t="inlineStr">
        <is>
          <t>Tháng 8</t>
        </is>
      </c>
      <c r="B11" s="11" t="inlineStr">
        <is>
          <t>Tuần 3</t>
        </is>
      </c>
      <c r="C11" s="11" t="inlineStr">
        <is>
          <t>BU1</t>
        </is>
      </c>
      <c r="D11" s="10" t="inlineStr">
        <is>
          <t>[BU1] MSG | Trung Quốc | 2026 | Daily</t>
        </is>
      </c>
      <c r="E11" s="10" t="inlineStr">
        <is>
          <t>[BU1] Trung Quốc | COLD | LEAD-MSG | 500K</t>
        </is>
      </c>
      <c r="F11" s="10" t="inlineStr">
        <is>
          <t>[BU1] | Đạo Thành Á Đinh | VID</t>
        </is>
      </c>
      <c r="G11" s="24" t="n">
        <v>718296</v>
      </c>
      <c r="H11" s="23" t="n">
        <v>23</v>
      </c>
      <c r="I11" s="24" t="n">
        <v>31230.26086956522</v>
      </c>
      <c r="J11" s="23" t="n">
        <v>6</v>
      </c>
      <c r="K11" s="24" t="n">
        <v>119716</v>
      </c>
    </row>
    <row r="12">
      <c r="A12" s="8" t="inlineStr">
        <is>
          <t>Tháng 8</t>
        </is>
      </c>
      <c r="B12" s="8" t="inlineStr">
        <is>
          <t>Tuần 3</t>
        </is>
      </c>
      <c r="C12" s="8" t="inlineStr">
        <is>
          <t>BU1</t>
        </is>
      </c>
      <c r="D12" s="7" t="inlineStr">
        <is>
          <t>[BU1] MSG | Trung Quốc | Q2-Q3-2026 - 21JUL2026</t>
        </is>
      </c>
      <c r="E12" s="7" t="inlineStr">
        <is>
          <t>[BU1] MSG | GIANG NAM| COLD |IMG</t>
        </is>
      </c>
      <c r="F12" s="7" t="inlineStr">
        <is>
          <t>[BU1] MSG | GIANG NAM| COLD |CLIP</t>
        </is>
      </c>
      <c r="G12" s="14" t="n">
        <v>716800</v>
      </c>
      <c r="H12" s="13" t="n">
        <v>4</v>
      </c>
      <c r="I12" s="14" t="n">
        <v>179200</v>
      </c>
      <c r="J12" s="13" t="n">
        <v>2</v>
      </c>
      <c r="K12" s="14" t="n">
        <v>358400</v>
      </c>
    </row>
    <row r="13">
      <c r="A13" s="11" t="inlineStr">
        <is>
          <t>Tháng 8</t>
        </is>
      </c>
      <c r="B13" s="11" t="inlineStr">
        <is>
          <t>Tuần 3</t>
        </is>
      </c>
      <c r="C13" s="11" t="inlineStr">
        <is>
          <t>BU1</t>
        </is>
      </c>
      <c r="D13" s="10" t="inlineStr">
        <is>
          <t>[BU1] MSG | Trung Quốc | Q2-Q3-2026 - 21JUL2026</t>
        </is>
      </c>
      <c r="E13" s="10" t="inlineStr">
        <is>
          <t>[BU1] MSG | CỬU TRẠI CÂU | 200K |IMG</t>
        </is>
      </c>
      <c r="F13" s="10" t="inlineStr">
        <is>
          <t>[BU1] MSG | CỬU TRẠI CÂU | 200K |VID</t>
        </is>
      </c>
      <c r="G13" s="24" t="n">
        <v>545204</v>
      </c>
      <c r="H13" s="23" t="n">
        <v>13</v>
      </c>
      <c r="I13" s="24" t="n">
        <v>41938.76923076923</v>
      </c>
      <c r="J13" s="23" t="n">
        <v>4</v>
      </c>
      <c r="K13" s="24" t="n">
        <v>136301</v>
      </c>
    </row>
    <row r="14">
      <c r="A14" s="8" t="inlineStr">
        <is>
          <t>Tháng 8</t>
        </is>
      </c>
      <c r="B14" s="8" t="inlineStr">
        <is>
          <t>Tuần 3</t>
        </is>
      </c>
      <c r="C14" s="8" t="inlineStr">
        <is>
          <t>BU2</t>
        </is>
      </c>
      <c r="D14" s="7" t="inlineStr">
        <is>
          <t>[BU2] LEAD-MSG | H2-2026</t>
        </is>
      </c>
      <c r="E14" s="7" t="inlineStr">
        <is>
          <t>[BU2] Nhật Bản | LEAD-MSG | COLD | 200K</t>
        </is>
      </c>
      <c r="F14" s="7" t="inlineStr">
        <is>
          <t>[BU2] | Nhật Bản | IMG | Nửa cuối năm 2026</t>
        </is>
      </c>
      <c r="G14" s="14" t="n">
        <v>1381274</v>
      </c>
      <c r="H14" s="13" t="n">
        <v>22</v>
      </c>
      <c r="I14" s="14" t="n">
        <v>62785.18181818182</v>
      </c>
      <c r="J14" s="13" t="n">
        <v>3</v>
      </c>
      <c r="K14" s="14" t="n">
        <v>460424.6666666667</v>
      </c>
    </row>
    <row r="15">
      <c r="A15" s="11" t="inlineStr">
        <is>
          <t>Tháng 8</t>
        </is>
      </c>
      <c r="B15" s="11" t="inlineStr">
        <is>
          <t>Tuần 3</t>
        </is>
      </c>
      <c r="C15" s="11" t="inlineStr">
        <is>
          <t>BU3</t>
        </is>
      </c>
      <c r="D15" s="10" t="inlineStr">
        <is>
          <t>[BU3] LEAD-MSG | H2-2026- Chạy từ 18 AUG 2026 - CHỌN LỌC</t>
        </is>
      </c>
      <c r="E15" s="10" t="inlineStr">
        <is>
          <t>[BU3] LEAD-MSG | H2-2026- Chạy từ 18 AUG 2026 - CHỌN LỌC</t>
        </is>
      </c>
      <c r="F15" s="10" t="inlineStr">
        <is>
          <t>[BU3] LEAD-MSG | CLIP</t>
        </is>
      </c>
      <c r="G15" s="24" t="n">
        <v>1266106</v>
      </c>
      <c r="H15" s="23" t="n">
        <v>2</v>
      </c>
      <c r="I15" s="24" t="n">
        <v>633053</v>
      </c>
      <c r="J15" s="23" t="n">
        <v>2</v>
      </c>
      <c r="K15" s="24" t="n">
        <v>633053</v>
      </c>
    </row>
    <row r="16">
      <c r="A16" s="8" t="inlineStr">
        <is>
          <t>Tháng 8</t>
        </is>
      </c>
      <c r="B16" s="8" t="inlineStr">
        <is>
          <t>Tuần 3</t>
        </is>
      </c>
      <c r="C16" s="8" t="inlineStr">
        <is>
          <t>BU4</t>
        </is>
      </c>
      <c r="D16" s="7" t="inlineStr">
        <is>
          <t>[BU4] LEAD-MSG | H2-2026 - Chạy từ 16 July 2026 - Tư vấn Facebook Ads</t>
        </is>
      </c>
      <c r="E16" s="7" t="inlineStr">
        <is>
          <t>[BU4] Srilanka | LEAD-MSG | TPHCM+30km, 23+ | 300K | Hình + Video | Từ 8 tháng 8 năm 2026</t>
        </is>
      </c>
      <c r="F16" s="7" t="inlineStr">
        <is>
          <t>[BU4] | Sri Lanka | IMG</t>
        </is>
      </c>
      <c r="G16" s="14" t="n">
        <v>2891068</v>
      </c>
      <c r="H16" s="13" t="n">
        <v>50</v>
      </c>
      <c r="I16" s="14" t="n">
        <v>57821.36</v>
      </c>
      <c r="J16" s="13" t="n">
        <v>6</v>
      </c>
      <c r="K16" s="14" t="n">
        <v>481844.6666666667</v>
      </c>
    </row>
    <row r="17">
      <c r="A17" s="11" t="inlineStr">
        <is>
          <t>Tháng 8</t>
        </is>
      </c>
      <c r="B17" s="11" t="inlineStr">
        <is>
          <t>Tuần 3</t>
        </is>
      </c>
      <c r="C17" s="11" t="inlineStr">
        <is>
          <t>BU4</t>
        </is>
      </c>
      <c r="D17" s="10" t="inlineStr">
        <is>
          <t>[BU4] LEAD-MSG | H2-2026 - Chạy từ 16 July 2026 - Tư vấn Facebook Ads</t>
        </is>
      </c>
      <c r="E17" s="10" t="inlineStr">
        <is>
          <t>[BU4] Ladakh | LEAD-MSG | TPHCM+30km, 23+ | 700K | Hình + Video | Từ 16 tháng 7 năm 2026</t>
        </is>
      </c>
      <c r="F17" s="10" t="inlineStr">
        <is>
          <t>[BU4] | Ladakh | VID | Video giới thiệu Ladakh KOP Dinh 10 July 2026</t>
        </is>
      </c>
      <c r="G17" s="24" t="n">
        <v>2161353</v>
      </c>
      <c r="H17" s="23" t="n">
        <v>34</v>
      </c>
      <c r="I17" s="24" t="n">
        <v>63569.20588235294</v>
      </c>
      <c r="J17" s="23" t="n">
        <v>7</v>
      </c>
      <c r="K17" s="24" t="n">
        <v>308764.7142857143</v>
      </c>
    </row>
    <row r="18">
      <c r="A18" s="8" t="inlineStr">
        <is>
          <t>Tháng 8</t>
        </is>
      </c>
      <c r="B18" s="8" t="inlineStr">
        <is>
          <t>Tuần 3</t>
        </is>
      </c>
      <c r="C18" s="8" t="inlineStr">
        <is>
          <t>BU4</t>
        </is>
      </c>
      <c r="D18" s="7" t="inlineStr">
        <is>
          <t>[BU4] LEAD-MSG | H2-2026 - Chạy từ 16 July 2026 - Tư vấn Facebook Ads</t>
        </is>
      </c>
      <c r="E18" s="7" t="inlineStr">
        <is>
          <t>[BU4] Ladakh | LEAD-MSG | TPHCM+30km, 23+ | 700K | Hình + Video | Từ 16 tháng 7 năm 2026</t>
        </is>
      </c>
      <c r="F18" s="7" t="inlineStr">
        <is>
          <t>[BU4] | Ladakh | IMG | Cuối năm - Bài tổng</t>
        </is>
      </c>
      <c r="G18" s="14" t="n">
        <v>774126</v>
      </c>
      <c r="H18" s="13" t="n">
        <v>10</v>
      </c>
      <c r="I18" s="14" t="n">
        <v>77412.60000000001</v>
      </c>
      <c r="J18" s="13" t="n">
        <v>5</v>
      </c>
      <c r="K18" s="14" t="n">
        <v>154825.2</v>
      </c>
    </row>
    <row r="19">
      <c r="A19" s="11" t="inlineStr">
        <is>
          <t>Tháng 8</t>
        </is>
      </c>
      <c r="B19" s="11" t="inlineStr">
        <is>
          <t>Tuần 3</t>
        </is>
      </c>
      <c r="C19" s="11" t="inlineStr">
        <is>
          <t>BU4</t>
        </is>
      </c>
      <c r="D19" s="10" t="inlineStr">
        <is>
          <t>[BU4] LEAD-MSG | H2-2026 - Chạy từ 16 July 2026 - Tư vấn Facebook Ads</t>
        </is>
      </c>
      <c r="E19" s="10" t="inlineStr">
        <is>
          <t>[BU4] Bhutan | LEAD-MSG | COLD | 600K | HN + SG | Bài tổng | Cuối năm</t>
        </is>
      </c>
      <c r="F19" s="10" t="inlineStr">
        <is>
          <t>[BU4] | Bhutan | CLIP | Cuối năm - Bài tổng v2</t>
        </is>
      </c>
      <c r="G19" s="24" t="n">
        <v>36040</v>
      </c>
      <c r="H19" s="23" t="n">
        <v>0</v>
      </c>
      <c r="I19" s="24" t="n">
        <v>0</v>
      </c>
      <c r="J19" s="23" t="n">
        <v>1</v>
      </c>
      <c r="K19" s="24" t="n">
        <v>36040</v>
      </c>
    </row>
    <row r="20">
      <c r="A20" s="8" t="inlineStr">
        <is>
          <t>Tháng 8</t>
        </is>
      </c>
      <c r="B20" s="8" t="inlineStr">
        <is>
          <t>Tuần 3</t>
        </is>
      </c>
      <c r="C20" s="8" t="inlineStr">
        <is>
          <t>BU5</t>
        </is>
      </c>
      <c r="D20" s="7" t="inlineStr">
        <is>
          <t>[BU5] LEAD-MSG | H2-2026- Chạy từ 17 July 2026 - Tư vấn Facebook Ads</t>
        </is>
      </c>
      <c r="E20" s="7" t="inlineStr">
        <is>
          <t>[BU5] MA RỐC | LEAD-MSG | COLD | 350K| HN + SG | Bài tổng | MÙA THU</t>
        </is>
      </c>
      <c r="F20" s="7" t="inlineStr">
        <is>
          <t>[BU5] MA RỐC | IMG | MÙA THU | BÀI TỔNG</t>
        </is>
      </c>
      <c r="G20" s="14" t="n">
        <v>2569787</v>
      </c>
      <c r="H20" s="13" t="n">
        <v>24</v>
      </c>
      <c r="I20" s="14" t="n">
        <v>107074.4583333333</v>
      </c>
      <c r="J20" s="13" t="n">
        <v>5</v>
      </c>
      <c r="K20" s="14" t="n">
        <v>513957.4</v>
      </c>
    </row>
    <row r="21">
      <c r="A21" s="11" t="inlineStr">
        <is>
          <t>Tháng 8</t>
        </is>
      </c>
      <c r="B21" s="11" t="inlineStr">
        <is>
          <t>Tuần 3</t>
        </is>
      </c>
      <c r="C21" s="11" t="inlineStr">
        <is>
          <t>BU5</t>
        </is>
      </c>
      <c r="D21" s="10" t="inlineStr">
        <is>
          <t>[BU5] LEAD-MSG | H2-2026- Chạy từ 17 July 2026 - Tư vấn Facebook Ads</t>
        </is>
      </c>
      <c r="E21" s="10" t="inlineStr">
        <is>
          <t>[BU5] AI CẬP | LEAD-MSG | COLD | 200K| HN + SG | Bài tổng | MÙA THU</t>
        </is>
      </c>
      <c r="F21" s="10" t="inlineStr">
        <is>
          <t>[BU5] AI CẬP | IMG | MÙA THU - BÀI TỔNG</t>
        </is>
      </c>
      <c r="G21" s="24" t="n">
        <v>2543690</v>
      </c>
      <c r="H21" s="23" t="n">
        <v>31</v>
      </c>
      <c r="I21" s="24" t="n">
        <v>82054.51612903226</v>
      </c>
      <c r="J21" s="23" t="n">
        <v>5</v>
      </c>
      <c r="K21" s="24" t="n">
        <v>508738</v>
      </c>
    </row>
    <row r="22">
      <c r="A22" s="8" t="inlineStr">
        <is>
          <t>Tháng 8</t>
        </is>
      </c>
      <c r="B22" s="8" t="inlineStr">
        <is>
          <t>Tuần 3</t>
        </is>
      </c>
      <c r="C22" s="8" t="inlineStr">
        <is>
          <t>BU5</t>
        </is>
      </c>
      <c r="D22" s="7" t="inlineStr">
        <is>
          <t>[BU5] LEAD-MSG | H2-2026- Chạy từ 17 July 2026 - Tư vấn Facebook Ads</t>
        </is>
      </c>
      <c r="E22" s="7" t="inlineStr">
        <is>
          <t>[BU5] Pakistan | LEAD-MSG | COLD | 400K| HN + SG | Bài tổng | Cuối năm</t>
        </is>
      </c>
      <c r="F22" s="7" t="inlineStr">
        <is>
          <t>[BU5] Pakistan | IMG | CUỐI NĂM - BÀI TƯƠNG TÁC</t>
        </is>
      </c>
      <c r="G22" s="14" t="n">
        <v>1536234</v>
      </c>
      <c r="H22" s="13" t="n">
        <v>25</v>
      </c>
      <c r="I22" s="14" t="n">
        <v>61449.36</v>
      </c>
      <c r="J22" s="13" t="n">
        <v>7</v>
      </c>
      <c r="K22" s="14" t="n">
        <v>219462</v>
      </c>
    </row>
    <row r="23">
      <c r="A23" s="11" t="inlineStr">
        <is>
          <t>Tháng 8</t>
        </is>
      </c>
      <c r="B23" s="11" t="inlineStr">
        <is>
          <t>Tuần 3</t>
        </is>
      </c>
      <c r="C23" s="11" t="inlineStr">
        <is>
          <t>BU5</t>
        </is>
      </c>
      <c r="D23" s="10" t="inlineStr">
        <is>
          <t>[BU5] LEAD-MSG | H2-2026- Chạy từ 17 July 2026 - Tư vấn Facebook Ads</t>
        </is>
      </c>
      <c r="E23" s="10" t="inlineStr">
        <is>
          <t>[BU5] Pakistan | LEAD-MSG | COLD | 400K| HN + SG | Bài tổng | Cuối năm</t>
        </is>
      </c>
      <c r="F23" s="10" t="inlineStr">
        <is>
          <t>[BU5] Pakistan | IMG | CUỐI NĂM -BÀI TỔNG</t>
        </is>
      </c>
      <c r="G23" s="24" t="n">
        <v>1414145</v>
      </c>
      <c r="H23" s="23" t="n">
        <v>6</v>
      </c>
      <c r="I23" s="24" t="n">
        <v>235690.8333333333</v>
      </c>
      <c r="J23" s="23" t="n">
        <v>5</v>
      </c>
      <c r="K23" s="24" t="n">
        <v>282829</v>
      </c>
    </row>
    <row r="24">
      <c r="A24" s="8" t="inlineStr">
        <is>
          <t>Tháng 8</t>
        </is>
      </c>
      <c r="B24" s="8" t="inlineStr">
        <is>
          <t>Tuần 3</t>
        </is>
      </c>
      <c r="C24" s="8" t="inlineStr">
        <is>
          <t>BU5</t>
        </is>
      </c>
      <c r="D24" s="7" t="inlineStr">
        <is>
          <t>[BU5] LEAD-MSG | H2-2026- Chạy từ 17 July 2026 - Tư vấn Facebook Ads</t>
        </is>
      </c>
      <c r="E24" s="7" t="inlineStr">
        <is>
          <t>[BU5] Pakistan | LEAD-MSG | COLD | 400K| HN + SG | Bài tổng | Cuối năm</t>
        </is>
      </c>
      <c r="F24" s="7" t="inlineStr">
        <is>
          <t>[BU5] Pakistan | IMG | CUỐI NĂM -BÀI TỔNG</t>
        </is>
      </c>
      <c r="G24" s="14" t="n">
        <v>149131</v>
      </c>
      <c r="H24" s="13" t="n">
        <v>0</v>
      </c>
      <c r="I24" s="14" t="n">
        <v>0</v>
      </c>
      <c r="J24" s="13" t="n">
        <v>2</v>
      </c>
      <c r="K24" s="14" t="n">
        <v>74565.5</v>
      </c>
    </row>
    <row r="25">
      <c r="A25" s="11" t="inlineStr">
        <is>
          <t>Tháng 8</t>
        </is>
      </c>
      <c r="B25" s="11" t="inlineStr">
        <is>
          <t>Tuần 3</t>
        </is>
      </c>
      <c r="C25" s="11" t="inlineStr">
        <is>
          <t>BU5</t>
        </is>
      </c>
      <c r="D25" s="10" t="inlineStr">
        <is>
          <t>[BU5] LEAD-MSG | H2-2026- Chạy từ 17 July 2026 - Tư vấn Facebook Ads</t>
        </is>
      </c>
      <c r="E25" s="10" t="inlineStr">
        <is>
          <t>[BU5] Bắc Mông Cổ | LEAD-MSG | COLD | 100K| HN + SG | Bài tổng | Cuối năm - Bản sao</t>
        </is>
      </c>
      <c r="F25" s="10" t="inlineStr">
        <is>
          <t>[BU5] BẮC MÔNG CỔ | IMG | MÙA THU - BÀI TỔNG</t>
        </is>
      </c>
      <c r="G25" s="24" t="n">
        <v>0</v>
      </c>
      <c r="H25" s="23" t="n">
        <v>1</v>
      </c>
      <c r="I25" s="24" t="n">
        <v>0</v>
      </c>
      <c r="J25" s="23" t="n">
        <v>0</v>
      </c>
      <c r="K25" s="24" t="n">
        <v>0</v>
      </c>
    </row>
    <row r="26">
      <c r="A26" s="8" t="inlineStr">
        <is>
          <t>Tháng 7</t>
        </is>
      </c>
      <c r="B26" s="8" t="inlineStr">
        <is>
          <t>Tuần 1</t>
        </is>
      </c>
      <c r="C26" s="8" t="inlineStr">
        <is>
          <t>BU1</t>
        </is>
      </c>
      <c r="D26" s="7" t="inlineStr">
        <is>
          <t>[BU1] MSG | Trung Quốc | 2026 | Daily</t>
        </is>
      </c>
      <c r="E26" s="7" t="inlineStr">
        <is>
          <t>[BU1] Trung Quốc | COLD | LEAD-MSG | 500K</t>
        </is>
      </c>
      <c r="F26" s="7" t="inlineStr">
        <is>
          <t>[BU1] | Đạo Thành Á Đinh | VID</t>
        </is>
      </c>
      <c r="G26" s="14" t="n">
        <v>2227452</v>
      </c>
      <c r="H26" s="13" t="n">
        <v>38</v>
      </c>
      <c r="I26" s="14" t="n">
        <v>58617.15789473684</v>
      </c>
      <c r="J26" s="13" t="n">
        <v>13</v>
      </c>
      <c r="K26" s="14" t="n">
        <v>171342.4615384615</v>
      </c>
    </row>
    <row r="27">
      <c r="A27" s="11" t="inlineStr">
        <is>
          <t>Tháng 7</t>
        </is>
      </c>
      <c r="B27" s="11" t="inlineStr">
        <is>
          <t>Tuần 1</t>
        </is>
      </c>
      <c r="C27" s="11" t="inlineStr">
        <is>
          <t>BU1</t>
        </is>
      </c>
      <c r="D27" s="10" t="inlineStr">
        <is>
          <t>[BU1] MSG | Trung Quốc | Q2-Q3-2026</t>
        </is>
      </c>
      <c r="E27" s="10" t="inlineStr">
        <is>
          <t>[BU1] Thiên Tây Mùa Hè | COLD | LEAD-MSG | 400K | IMG</t>
        </is>
      </c>
      <c r="F27" s="10" t="inlineStr">
        <is>
          <t>[BU1] | Thiềm Tây Mùa Hè | IMG</t>
        </is>
      </c>
      <c r="G27" s="24" t="n">
        <v>1997477</v>
      </c>
      <c r="H27" s="23" t="n">
        <v>19</v>
      </c>
      <c r="I27" s="24" t="n">
        <v>105130.3684210526</v>
      </c>
      <c r="J27" s="23" t="n">
        <v>7</v>
      </c>
      <c r="K27" s="24" t="n">
        <v>285353.8571428572</v>
      </c>
    </row>
    <row r="28">
      <c r="A28" s="8" t="inlineStr">
        <is>
          <t>Tháng 7</t>
        </is>
      </c>
      <c r="B28" s="8" t="inlineStr">
        <is>
          <t>Tuần 1</t>
        </is>
      </c>
      <c r="C28" s="8" t="inlineStr">
        <is>
          <t>BU1</t>
        </is>
      </c>
      <c r="D28" s="7" t="inlineStr">
        <is>
          <t>[BU1] MSG | Trung Quốc | Q2-Q3-2026</t>
        </is>
      </c>
      <c r="E28" s="7" t="inlineStr">
        <is>
          <t>[BU1] Lệ Giang - Sa Khê Cổ Trấn | LEAD-MSG | COLD | 300K | Hình</t>
        </is>
      </c>
      <c r="F28" s="7" t="inlineStr">
        <is>
          <t>[BU1] | Lệ Giang - Sa Khê Cổ Trấn | IMG</t>
        </is>
      </c>
      <c r="G28" s="14" t="n">
        <v>1629844</v>
      </c>
      <c r="H28" s="13" t="n">
        <v>30</v>
      </c>
      <c r="I28" s="14" t="n">
        <v>54328.13333333333</v>
      </c>
      <c r="J28" s="13" t="n">
        <v>7</v>
      </c>
      <c r="K28" s="14" t="n">
        <v>232834.8571428571</v>
      </c>
    </row>
    <row r="29">
      <c r="A29" s="11" t="inlineStr">
        <is>
          <t>Tháng 7</t>
        </is>
      </c>
      <c r="B29" s="11" t="inlineStr">
        <is>
          <t>Tuần 1</t>
        </is>
      </c>
      <c r="C29" s="11" t="inlineStr">
        <is>
          <t>BU1</t>
        </is>
      </c>
      <c r="D29" s="10" t="inlineStr">
        <is>
          <t>[BU1] MSG | Trung Quốc | Q2-Q3-2026</t>
        </is>
      </c>
      <c r="E29" s="10" t="inlineStr">
        <is>
          <t>[BU1] Tour 2/9 | COLD | LEAD-MSG | 300K | IMG-Tổng hợp</t>
        </is>
      </c>
      <c r="F29" s="10" t="inlineStr">
        <is>
          <t>[BU1] | Tour 2/9 | IMG | Tổng hợp</t>
        </is>
      </c>
      <c r="G29" s="24" t="n">
        <v>1617803</v>
      </c>
      <c r="H29" s="23" t="n">
        <v>20</v>
      </c>
      <c r="I29" s="24" t="n">
        <v>80890.14999999999</v>
      </c>
      <c r="J29" s="23" t="n">
        <v>14</v>
      </c>
      <c r="K29" s="24" t="n">
        <v>115557.3571428571</v>
      </c>
    </row>
    <row r="30">
      <c r="A30" s="8" t="inlineStr">
        <is>
          <t>Tháng 7</t>
        </is>
      </c>
      <c r="B30" s="8" t="inlineStr">
        <is>
          <t>Tuần 1</t>
        </is>
      </c>
      <c r="C30" s="8" t="inlineStr">
        <is>
          <t>BU1</t>
        </is>
      </c>
      <c r="D30" s="7" t="inlineStr">
        <is>
          <t>[BU1] MSG | Trung Quốc | Q2-Q3-2026</t>
        </is>
      </c>
      <c r="E30" s="7" t="inlineStr">
        <is>
          <t>[BU1] Chuyến tàu Thanh Tạng | COLD | LEAD-MSG | 300K | VID</t>
        </is>
      </c>
      <c r="F30" s="7" t="inlineStr">
        <is>
          <t>[BU1] | Chuyến tàu Thanh Tạng | VID</t>
        </is>
      </c>
      <c r="G30" s="14" t="n">
        <v>1510637</v>
      </c>
      <c r="H30" s="13" t="n">
        <v>21</v>
      </c>
      <c r="I30" s="14" t="n">
        <v>71935.09523809524</v>
      </c>
      <c r="J30" s="13" t="n">
        <v>9</v>
      </c>
      <c r="K30" s="14" t="n">
        <v>167848.5555555556</v>
      </c>
    </row>
    <row r="31">
      <c r="A31" s="11" t="inlineStr">
        <is>
          <t>Tháng 7</t>
        </is>
      </c>
      <c r="B31" s="11" t="inlineStr">
        <is>
          <t>Tuần 1</t>
        </is>
      </c>
      <c r="C31" s="11" t="inlineStr">
        <is>
          <t>BU1</t>
        </is>
      </c>
      <c r="D31" s="10" t="inlineStr">
        <is>
          <t>[BU1] MSG | Trung Quốc | 2026 | Daily</t>
        </is>
      </c>
      <c r="E31" s="10" t="inlineStr">
        <is>
          <t>[BU1] Trung Quốc | COLD | LEAD-MSG | 500K</t>
        </is>
      </c>
      <c r="F31" s="10" t="inlineStr">
        <is>
          <t>[BU1] | Trung Quốc Mùa Hè | IMG | Tổng Hợp 2026</t>
        </is>
      </c>
      <c r="G31" s="24" t="n">
        <v>227107</v>
      </c>
      <c r="H31" s="23" t="n">
        <v>1</v>
      </c>
      <c r="I31" s="24" t="n">
        <v>227107</v>
      </c>
      <c r="J31" s="23" t="n">
        <v>0</v>
      </c>
      <c r="K31" s="24" t="n">
        <v>0</v>
      </c>
    </row>
    <row r="32">
      <c r="A32" s="8" t="inlineStr">
        <is>
          <t>Tháng 7</t>
        </is>
      </c>
      <c r="B32" s="8" t="inlineStr">
        <is>
          <t>Tuần 2</t>
        </is>
      </c>
      <c r="C32" s="8" t="inlineStr">
        <is>
          <t>BU1</t>
        </is>
      </c>
      <c r="D32" s="7" t="inlineStr">
        <is>
          <t>[BU1] MSG | Trung Quốc | 2026 | Daily</t>
        </is>
      </c>
      <c r="E32" s="7" t="inlineStr">
        <is>
          <t>[BU1] Trung Quốc | COLD | LEAD-MSG | 500K</t>
        </is>
      </c>
      <c r="F32" s="7" t="inlineStr">
        <is>
          <t>[BU1] | Đạo Thành Á Đinh | VID</t>
        </is>
      </c>
      <c r="G32" s="14" t="n">
        <v>3406012</v>
      </c>
      <c r="H32" s="13" t="n">
        <v>88</v>
      </c>
      <c r="I32" s="14" t="n">
        <v>38704.68181818182</v>
      </c>
      <c r="J32" s="13" t="n">
        <v>16</v>
      </c>
      <c r="K32" s="14" t="n">
        <v>212875.75</v>
      </c>
    </row>
    <row r="33">
      <c r="A33" s="11" t="inlineStr">
        <is>
          <t>Tháng 7</t>
        </is>
      </c>
      <c r="B33" s="11" t="inlineStr">
        <is>
          <t>Tuần 2</t>
        </is>
      </c>
      <c r="C33" s="11" t="inlineStr">
        <is>
          <t>BU1</t>
        </is>
      </c>
      <c r="D33" s="10" t="inlineStr">
        <is>
          <t>[BU1] MSG | Trung Quốc | Q2-Q3-2026</t>
        </is>
      </c>
      <c r="E33" s="10" t="inlineStr">
        <is>
          <t>[BU1] Thiên Tây Mùa Hè | COLD | LEAD-MSG | 400K | IMG</t>
        </is>
      </c>
      <c r="F33" s="10" t="inlineStr">
        <is>
          <t>[BU1] | Thiềm Tây Mùa Hè | IMG</t>
        </is>
      </c>
      <c r="G33" s="24" t="n">
        <v>2440730</v>
      </c>
      <c r="H33" s="23" t="n">
        <v>32</v>
      </c>
      <c r="I33" s="24" t="n">
        <v>76272.8125</v>
      </c>
      <c r="J33" s="23" t="n">
        <v>16</v>
      </c>
      <c r="K33" s="24" t="n">
        <v>152545.625</v>
      </c>
    </row>
    <row r="34">
      <c r="A34" s="8" t="inlineStr">
        <is>
          <t>Tháng 7</t>
        </is>
      </c>
      <c r="B34" s="8" t="inlineStr">
        <is>
          <t>Tuần 2</t>
        </is>
      </c>
      <c r="C34" s="8" t="inlineStr">
        <is>
          <t>BU1</t>
        </is>
      </c>
      <c r="D34" s="7" t="inlineStr">
        <is>
          <t>[BU1] MSG | Trung Quốc | Q2-Q3-2026</t>
        </is>
      </c>
      <c r="E34" s="7" t="inlineStr">
        <is>
          <t>[BU1] Tour 2/9 | COLD | LEAD-MSG | 300K | IMG-Tổng hợp</t>
        </is>
      </c>
      <c r="F34" s="7" t="inlineStr">
        <is>
          <t>[BU1] | Tour 2/9 | IMG | Tổng hợp</t>
        </is>
      </c>
      <c r="G34" s="14" t="n">
        <v>2319108</v>
      </c>
      <c r="H34" s="13" t="n">
        <v>34</v>
      </c>
      <c r="I34" s="14" t="n">
        <v>68209.05882352941</v>
      </c>
      <c r="J34" s="13" t="n">
        <v>12</v>
      </c>
      <c r="K34" s="14" t="n">
        <v>193259</v>
      </c>
    </row>
    <row r="35">
      <c r="A35" s="11" t="inlineStr">
        <is>
          <t>Tháng 7</t>
        </is>
      </c>
      <c r="B35" s="11" t="inlineStr">
        <is>
          <t>Tuần 2</t>
        </is>
      </c>
      <c r="C35" s="11" t="inlineStr">
        <is>
          <t>BU1</t>
        </is>
      </c>
      <c r="D35" s="10" t="inlineStr">
        <is>
          <t>[BU1] MSG | Trung Quốc | Q2-Q3-2026</t>
        </is>
      </c>
      <c r="E35" s="10" t="inlineStr">
        <is>
          <t>[BU1] Lệ Giang - Sa Khê Cổ Trấn | LEAD-MSG | COLD | 300K | Hình</t>
        </is>
      </c>
      <c r="F35" s="10" t="inlineStr">
        <is>
          <t>[BU1] | Lệ Giang - Sa Khê Cổ Trấn | IMG</t>
        </is>
      </c>
      <c r="G35" s="24" t="n">
        <v>1790616</v>
      </c>
      <c r="H35" s="23" t="n">
        <v>20</v>
      </c>
      <c r="I35" s="24" t="n">
        <v>89530.8</v>
      </c>
      <c r="J35" s="23" t="n">
        <v>12</v>
      </c>
      <c r="K35" s="24" t="n">
        <v>149218</v>
      </c>
    </row>
    <row r="36">
      <c r="A36" s="8" t="inlineStr">
        <is>
          <t>Tháng 7</t>
        </is>
      </c>
      <c r="B36" s="8" t="inlineStr">
        <is>
          <t>Tuần 2</t>
        </is>
      </c>
      <c r="C36" s="8" t="inlineStr">
        <is>
          <t>BU1</t>
        </is>
      </c>
      <c r="D36" s="7" t="inlineStr">
        <is>
          <t>[BU1] MSG | Trung Quốc | Q2-Q3-2026</t>
        </is>
      </c>
      <c r="E36" s="7" t="inlineStr">
        <is>
          <t>[BU1] Chuyến tàu Thanh Tạng | COLD | LEAD-MSG | 300K | VID</t>
        </is>
      </c>
      <c r="F36" s="7" t="inlineStr">
        <is>
          <t>[BU1] | Chuyến tàu Thanh Tạng | VID</t>
        </is>
      </c>
      <c r="G36" s="14" t="n">
        <v>1770593</v>
      </c>
      <c r="H36" s="13" t="n">
        <v>34</v>
      </c>
      <c r="I36" s="14" t="n">
        <v>52076.26470588235</v>
      </c>
      <c r="J36" s="13" t="n">
        <v>14</v>
      </c>
      <c r="K36" s="14" t="n">
        <v>126470.9285714286</v>
      </c>
    </row>
    <row r="37">
      <c r="A37" s="11" t="inlineStr">
        <is>
          <t>Tháng 7</t>
        </is>
      </c>
      <c r="B37" s="11" t="inlineStr">
        <is>
          <t>Tuần 2</t>
        </is>
      </c>
      <c r="C37" s="11" t="inlineStr">
        <is>
          <t>BU1</t>
        </is>
      </c>
      <c r="D37" s="10" t="inlineStr">
        <is>
          <t>[BU1] MSG | Trung Quốc | Q2-Q3-2026</t>
        </is>
      </c>
      <c r="E37" s="10" t="inlineStr">
        <is>
          <t>[BU1] Lệ Giang - Sa Khê Cổ Trấn | LEAD-MSG | COLD | 300K | Hình</t>
        </is>
      </c>
      <c r="F37" s="10" t="inlineStr">
        <is>
          <t>[BU1] | Trung Quốc - Lệ Giang | VID | Video Lệ Giang 10 tháng 7 năm 2026</t>
        </is>
      </c>
      <c r="G37" s="24" t="n">
        <v>699130</v>
      </c>
      <c r="H37" s="23" t="n">
        <v>14</v>
      </c>
      <c r="I37" s="24" t="n">
        <v>49937.85714285714</v>
      </c>
      <c r="J37" s="23" t="n">
        <v>2</v>
      </c>
      <c r="K37" s="24" t="n">
        <v>349565</v>
      </c>
    </row>
    <row r="38">
      <c r="A38" s="8" t="inlineStr">
        <is>
          <t>Tháng 7</t>
        </is>
      </c>
      <c r="B38" s="8" t="inlineStr">
        <is>
          <t>Tuần 2</t>
        </is>
      </c>
      <c r="C38" s="8" t="inlineStr">
        <is>
          <t>BU1</t>
        </is>
      </c>
      <c r="D38" s="7" t="inlineStr">
        <is>
          <t>[BU1] MSG | Trung Quốc | 2026 | Daily</t>
        </is>
      </c>
      <c r="E38" s="7" t="inlineStr">
        <is>
          <t>[BU1] Trung Quốc | COLD | LEAD-MSG | 500K</t>
        </is>
      </c>
      <c r="F38" s="7" t="inlineStr">
        <is>
          <t>[BU1] | Trung Quốc Mùa Hè | IMG | Tổng Hợp 2026</t>
        </is>
      </c>
      <c r="G38" s="14" t="n">
        <v>86226</v>
      </c>
      <c r="H38" s="13" t="n">
        <v>0</v>
      </c>
      <c r="I38" s="14" t="n">
        <v>0</v>
      </c>
      <c r="J38" s="13" t="n">
        <v>1</v>
      </c>
      <c r="K38" s="14" t="n">
        <v>86226</v>
      </c>
    </row>
    <row r="39">
      <c r="A39" s="11" t="inlineStr">
        <is>
          <t>Tháng 7</t>
        </is>
      </c>
      <c r="B39" s="11" t="inlineStr">
        <is>
          <t>Tuần 3</t>
        </is>
      </c>
      <c r="C39" s="11" t="inlineStr">
        <is>
          <t>BU1</t>
        </is>
      </c>
      <c r="D39" s="10" t="inlineStr">
        <is>
          <t>[BU1] MSG | Trung Quốc | 2026 | Daily</t>
        </is>
      </c>
      <c r="E39" s="10" t="inlineStr">
        <is>
          <t>[BU1] Trung Quốc | COLD | LEAD-MSG | 500K</t>
        </is>
      </c>
      <c r="F39" s="10" t="inlineStr">
        <is>
          <t>[BU1] | Đạo Thành Á Đinh | VID</t>
        </is>
      </c>
      <c r="G39" s="24" t="n">
        <v>3338356</v>
      </c>
      <c r="H39" s="23" t="n">
        <v>91</v>
      </c>
      <c r="I39" s="24" t="n">
        <v>36685.23076923077</v>
      </c>
      <c r="J39" s="23" t="n">
        <v>23</v>
      </c>
      <c r="K39" s="24" t="n">
        <v>145145.9130434783</v>
      </c>
    </row>
    <row r="40">
      <c r="A40" s="8" t="inlineStr">
        <is>
          <t>Tháng 7</t>
        </is>
      </c>
      <c r="B40" s="8" t="inlineStr">
        <is>
          <t>Tuần 3</t>
        </is>
      </c>
      <c r="C40" s="8" t="inlineStr">
        <is>
          <t>BU1</t>
        </is>
      </c>
      <c r="D40" s="7" t="inlineStr">
        <is>
          <t>[BU1] MSG | Trung Quốc | Q2-Q3-2026</t>
        </is>
      </c>
      <c r="E40" s="7" t="inlineStr">
        <is>
          <t>[BU1] Thiên Tây Mùa Hè | COLD | LEAD-MSG | 400K | IMG</t>
        </is>
      </c>
      <c r="F40" s="7" t="inlineStr">
        <is>
          <t>[BU1] | Thiềm Tây Mùa Hè | IMG</t>
        </is>
      </c>
      <c r="G40" s="14" t="n">
        <v>2548006</v>
      </c>
      <c r="H40" s="13" t="n">
        <v>28</v>
      </c>
      <c r="I40" s="14" t="n">
        <v>91000.21428571429</v>
      </c>
      <c r="J40" s="13" t="n">
        <v>9</v>
      </c>
      <c r="K40" s="14" t="n">
        <v>283111.7777777778</v>
      </c>
    </row>
    <row r="41">
      <c r="A41" s="11" t="inlineStr">
        <is>
          <t>Tháng 7</t>
        </is>
      </c>
      <c r="B41" s="11" t="inlineStr">
        <is>
          <t>Tuần 3</t>
        </is>
      </c>
      <c r="C41" s="11" t="inlineStr">
        <is>
          <t>BU1</t>
        </is>
      </c>
      <c r="D41" s="10" t="inlineStr">
        <is>
          <t>[BU1] MSG | Trung Quốc | Q2-Q3-2026</t>
        </is>
      </c>
      <c r="E41" s="10" t="inlineStr">
        <is>
          <t>[BU1] Tour 2/9 | COLD | LEAD-MSG | 300K | IMG-Tổng hợp</t>
        </is>
      </c>
      <c r="F41" s="10" t="inlineStr">
        <is>
          <t>[BU1] | Tour 2/9 | IMG | Tổng hợp</t>
        </is>
      </c>
      <c r="G41" s="24" t="n">
        <v>2226112</v>
      </c>
      <c r="H41" s="23" t="n">
        <v>56</v>
      </c>
      <c r="I41" s="24" t="n">
        <v>39752</v>
      </c>
      <c r="J41" s="23" t="n">
        <v>12</v>
      </c>
      <c r="K41" s="24" t="n">
        <v>185509.3333333333</v>
      </c>
    </row>
    <row r="42">
      <c r="A42" s="8" t="inlineStr">
        <is>
          <t>Tháng 7</t>
        </is>
      </c>
      <c r="B42" s="8" t="inlineStr">
        <is>
          <t>Tuần 3</t>
        </is>
      </c>
      <c r="C42" s="8" t="inlineStr">
        <is>
          <t>BU1</t>
        </is>
      </c>
      <c r="D42" s="7" t="inlineStr">
        <is>
          <t>[BU1] MSG | Trung Quốc | Q2-Q3-2026</t>
        </is>
      </c>
      <c r="E42" s="7" t="inlineStr">
        <is>
          <t>[BU1] Chuyến tàu Thanh Tạng | COLD | LEAD-MSG | 300K | VID</t>
        </is>
      </c>
      <c r="F42" s="7" t="inlineStr">
        <is>
          <t>[BU1] | Chuyến tàu Thanh Tạng | VID</t>
        </is>
      </c>
      <c r="G42" s="14" t="n">
        <v>1972160</v>
      </c>
      <c r="H42" s="13" t="n">
        <v>33</v>
      </c>
      <c r="I42" s="14" t="n">
        <v>59762.42424242424</v>
      </c>
      <c r="J42" s="13" t="n">
        <v>18</v>
      </c>
      <c r="K42" s="14" t="n">
        <v>109564.4444444444</v>
      </c>
    </row>
    <row r="43">
      <c r="A43" s="11" t="inlineStr">
        <is>
          <t>Tháng 7</t>
        </is>
      </c>
      <c r="B43" s="11" t="inlineStr">
        <is>
          <t>Tuần 3</t>
        </is>
      </c>
      <c r="C43" s="11" t="inlineStr">
        <is>
          <t>BU1</t>
        </is>
      </c>
      <c r="D43" s="10" t="inlineStr">
        <is>
          <t>[BU1] MSG | Trung Quốc | Q2-Q3-2026</t>
        </is>
      </c>
      <c r="E43" s="10" t="inlineStr">
        <is>
          <t>[BU1] Lệ Giang - Sa Khê Cổ Trấn | LEAD-MSG | COLD | 300K | Hình</t>
        </is>
      </c>
      <c r="F43" s="10" t="inlineStr">
        <is>
          <t>[BU1] | Lệ Giang - Sa Khê Cổ Trấn | IMG</t>
        </is>
      </c>
      <c r="G43" s="24" t="n">
        <v>1202476</v>
      </c>
      <c r="H43" s="23" t="n">
        <v>13</v>
      </c>
      <c r="I43" s="24" t="n">
        <v>92498.15384615384</v>
      </c>
      <c r="J43" s="23" t="n">
        <v>5</v>
      </c>
      <c r="K43" s="24" t="n">
        <v>240495.2</v>
      </c>
    </row>
    <row r="44">
      <c r="A44" s="8" t="inlineStr">
        <is>
          <t>Tháng 7</t>
        </is>
      </c>
      <c r="B44" s="8" t="inlineStr">
        <is>
          <t>Tuần 3</t>
        </is>
      </c>
      <c r="C44" s="8" t="inlineStr">
        <is>
          <t>BU1</t>
        </is>
      </c>
      <c r="D44" s="7" t="inlineStr">
        <is>
          <t>[BU1] MSG | Trung Quốc | Q2-Q3-2026</t>
        </is>
      </c>
      <c r="E44" s="7" t="inlineStr">
        <is>
          <t>[BU1] Lệ Giang - Sa Khê Cổ Trấn | LEAD-MSG | COLD | 300K | Hình</t>
        </is>
      </c>
      <c r="F44" s="7" t="inlineStr">
        <is>
          <t>[BU1] | Trung Quốc - Lệ Giang | VID | Video Lệ Giang 10 tháng 7 năm 2026</t>
        </is>
      </c>
      <c r="G44" s="14" t="n">
        <v>1164440</v>
      </c>
      <c r="H44" s="13" t="n">
        <v>26</v>
      </c>
      <c r="I44" s="14" t="n">
        <v>44786.15384615384</v>
      </c>
      <c r="J44" s="13" t="n">
        <v>13</v>
      </c>
      <c r="K44" s="14" t="n">
        <v>89572.30769230769</v>
      </c>
    </row>
    <row r="45">
      <c r="A45" s="11" t="inlineStr">
        <is>
          <t>Tháng 7</t>
        </is>
      </c>
      <c r="B45" s="11" t="inlineStr">
        <is>
          <t>Tuần 3</t>
        </is>
      </c>
      <c r="C45" s="11" t="inlineStr">
        <is>
          <t>BU1</t>
        </is>
      </c>
      <c r="D45" s="10" t="inlineStr">
        <is>
          <t>[BU1] MSG | Trung Quốc | Q2-Q3-2026</t>
        </is>
      </c>
      <c r="E45" s="10" t="inlineStr">
        <is>
          <t>[BU1] Chuyến tàu Thanh Tạng | COLD | LEAD-MSG | 300K | IMG</t>
        </is>
      </c>
      <c r="F45" s="10" t="inlineStr">
        <is>
          <t>[BU1] Chuyến tàu Thanh Tạng | LEAD-MSG | 300K | IMG</t>
        </is>
      </c>
      <c r="G45" s="24" t="n">
        <v>564678</v>
      </c>
      <c r="H45" s="23" t="n">
        <v>51</v>
      </c>
      <c r="I45" s="24" t="n">
        <v>11072.11764705882</v>
      </c>
      <c r="J45" s="23" t="n">
        <v>3</v>
      </c>
      <c r="K45" s="24" t="n">
        <v>188226</v>
      </c>
    </row>
    <row r="46">
      <c r="A46" s="8" t="inlineStr">
        <is>
          <t>Tháng 7</t>
        </is>
      </c>
      <c r="B46" s="8" t="inlineStr">
        <is>
          <t>Tuần 3</t>
        </is>
      </c>
      <c r="C46" s="8" t="inlineStr">
        <is>
          <t>BU1</t>
        </is>
      </c>
      <c r="D46" s="7" t="inlineStr">
        <is>
          <t>[BU1] MSG | Trung Quốc | 2026 | Daily</t>
        </is>
      </c>
      <c r="E46" s="7" t="inlineStr">
        <is>
          <t>[BU1] Trung Quốc | COLD | LEAD-MSG | 500K</t>
        </is>
      </c>
      <c r="F46" s="7" t="inlineStr">
        <is>
          <t>[BU1] | Trung Quốc Mùa Hè | IMG | Tổng Hợp 2026</t>
        </is>
      </c>
      <c r="G46" s="14" t="n">
        <v>47594</v>
      </c>
      <c r="H46" s="13" t="n">
        <v>0</v>
      </c>
      <c r="I46" s="14" t="n">
        <v>0</v>
      </c>
      <c r="J46" s="13" t="n">
        <v>0</v>
      </c>
      <c r="K46" s="14" t="n">
        <v>0</v>
      </c>
    </row>
    <row r="47">
      <c r="A47" s="11" t="inlineStr">
        <is>
          <t>Tháng 7</t>
        </is>
      </c>
      <c r="B47" s="11" t="inlineStr">
        <is>
          <t>Tuần 4</t>
        </is>
      </c>
      <c r="C47" s="11" t="inlineStr">
        <is>
          <t>BU1</t>
        </is>
      </c>
      <c r="D47" s="10" t="inlineStr">
        <is>
          <t>[BU1] MSG | Trung Quốc | Q2-Q3-2026</t>
        </is>
      </c>
      <c r="E47" s="10" t="inlineStr">
        <is>
          <t>[BU1] Thiên Tây Mùa Hè | COLD | LEAD-MSG | 400K | IMG</t>
        </is>
      </c>
      <c r="F47" s="10" t="inlineStr">
        <is>
          <t>[BU1] | Thiềm Tây Mùa Hè | IMG</t>
        </is>
      </c>
      <c r="G47" s="24" t="n">
        <v>2370289</v>
      </c>
      <c r="H47" s="23" t="n">
        <v>33</v>
      </c>
      <c r="I47" s="24" t="n">
        <v>71826.93939393939</v>
      </c>
      <c r="J47" s="23" t="n">
        <v>11</v>
      </c>
      <c r="K47" s="24" t="n">
        <v>215480.8181818182</v>
      </c>
    </row>
    <row r="48">
      <c r="A48" s="8" t="inlineStr">
        <is>
          <t>Tháng 7</t>
        </is>
      </c>
      <c r="B48" s="8" t="inlineStr">
        <is>
          <t>Tuần 4</t>
        </is>
      </c>
      <c r="C48" s="8" t="inlineStr">
        <is>
          <t>BU1</t>
        </is>
      </c>
      <c r="D48" s="7" t="inlineStr">
        <is>
          <t>[BU1] MSG | Trung Quốc | Q2-Q3-2026</t>
        </is>
      </c>
      <c r="E48" s="7" t="inlineStr">
        <is>
          <t>[BU1] Tour 2/9 | COLD | LEAD-MSG | 300K | IMG-Tổng hợp</t>
        </is>
      </c>
      <c r="F48" s="7" t="inlineStr">
        <is>
          <t>[BU1] | Tour 2/9 | IMG | Tổng hợp</t>
        </is>
      </c>
      <c r="G48" s="14" t="n">
        <v>2236035</v>
      </c>
      <c r="H48" s="13" t="n">
        <v>42</v>
      </c>
      <c r="I48" s="14" t="n">
        <v>53238.92857142857</v>
      </c>
      <c r="J48" s="13" t="n">
        <v>9</v>
      </c>
      <c r="K48" s="14" t="n">
        <v>248448.3333333333</v>
      </c>
    </row>
    <row r="49">
      <c r="A49" s="11" t="inlineStr">
        <is>
          <t>Tháng 7</t>
        </is>
      </c>
      <c r="B49" s="11" t="inlineStr">
        <is>
          <t>Tuần 4</t>
        </is>
      </c>
      <c r="C49" s="11" t="inlineStr">
        <is>
          <t>BU1</t>
        </is>
      </c>
      <c r="D49" s="10" t="inlineStr">
        <is>
          <t>[BU1] MSG | Trung Quốc | 2026 | Daily</t>
        </is>
      </c>
      <c r="E49" s="10" t="inlineStr">
        <is>
          <t>[BU1] Trung Quốc | COLD | LEAD-MSG | 500K</t>
        </is>
      </c>
      <c r="F49" s="10" t="inlineStr">
        <is>
          <t>[BU1] | Đạo Thành Á Đinh | VID</t>
        </is>
      </c>
      <c r="G49" s="24" t="n">
        <v>1024227</v>
      </c>
      <c r="H49" s="23" t="n">
        <v>28</v>
      </c>
      <c r="I49" s="24" t="n">
        <v>36579.53571428572</v>
      </c>
      <c r="J49" s="23" t="n">
        <v>11</v>
      </c>
      <c r="K49" s="24" t="n">
        <v>93111.54545454546</v>
      </c>
    </row>
    <row r="50">
      <c r="A50" s="8" t="inlineStr">
        <is>
          <t>Tháng 7</t>
        </is>
      </c>
      <c r="B50" s="8" t="inlineStr">
        <is>
          <t>Tuần 4</t>
        </is>
      </c>
      <c r="C50" s="8" t="inlineStr">
        <is>
          <t>BU1</t>
        </is>
      </c>
      <c r="D50" s="7" t="inlineStr">
        <is>
          <t>[BU1] MSG | Trung Quốc | Q2-Q3-2026</t>
        </is>
      </c>
      <c r="E50" s="7" t="inlineStr">
        <is>
          <t>[BU1] Chuyến tàu Thanh Tạng | COLD | LEAD-MSG | 300K | IMG</t>
        </is>
      </c>
      <c r="F50" s="7" t="inlineStr">
        <is>
          <t>[BU1] Chuyến tàu Thanh Tạng | LEAD-MSG | 300K | IMG</t>
        </is>
      </c>
      <c r="G50" s="14" t="n">
        <v>900262</v>
      </c>
      <c r="H50" s="13" t="n">
        <v>123</v>
      </c>
      <c r="I50" s="14" t="n">
        <v>7319.20325203252</v>
      </c>
      <c r="J50" s="13" t="n">
        <v>17</v>
      </c>
      <c r="K50" s="14" t="n">
        <v>52956.58823529412</v>
      </c>
    </row>
    <row r="51">
      <c r="A51" s="11" t="inlineStr">
        <is>
          <t>Tháng 7</t>
        </is>
      </c>
      <c r="B51" s="11" t="inlineStr">
        <is>
          <t>Tuần 4</t>
        </is>
      </c>
      <c r="C51" s="11" t="inlineStr">
        <is>
          <t>BU1</t>
        </is>
      </c>
      <c r="D51" s="10" t="inlineStr">
        <is>
          <t>[BU1] MSG | Trung Quốc | Q2-Q3-2026</t>
        </is>
      </c>
      <c r="E51" s="10" t="inlineStr">
        <is>
          <t>[BU1] Chuyến tàu Thanh Tạng | COLD | LEAD-MSG | 300K | VID</t>
        </is>
      </c>
      <c r="F51" s="10" t="inlineStr">
        <is>
          <t>[BU1] | Chuyến tàu Thanh Tạng | VID</t>
        </is>
      </c>
      <c r="G51" s="24" t="n">
        <v>769528</v>
      </c>
      <c r="H51" s="23" t="n">
        <v>11</v>
      </c>
      <c r="I51" s="24" t="n">
        <v>69957.09090909091</v>
      </c>
      <c r="J51" s="23" t="n">
        <v>7</v>
      </c>
      <c r="K51" s="24" t="n">
        <v>109932.5714285714</v>
      </c>
    </row>
    <row r="52">
      <c r="A52" s="8" t="inlineStr">
        <is>
          <t>Tháng 7</t>
        </is>
      </c>
      <c r="B52" s="8" t="inlineStr">
        <is>
          <t>Tuần 4</t>
        </is>
      </c>
      <c r="C52" s="8" t="inlineStr">
        <is>
          <t>BU1</t>
        </is>
      </c>
      <c r="D52" s="7" t="inlineStr">
        <is>
          <t>[BU1] MSG | Trung Quốc | Q2-Q3-2026</t>
        </is>
      </c>
      <c r="E52" s="7" t="inlineStr">
        <is>
          <t>[BU1] Lệ Giang - Sa Khê Cổ Trấn | LEAD-MSG | COLD | 300K | Hình</t>
        </is>
      </c>
      <c r="F52" s="7" t="inlineStr">
        <is>
          <t>[BU1] | Trung Quốc - Lệ Giang | VID | Video Lệ Giang 10 tháng 7 năm 2026</t>
        </is>
      </c>
      <c r="G52" s="14" t="n">
        <v>727654</v>
      </c>
      <c r="H52" s="13" t="n">
        <v>14</v>
      </c>
      <c r="I52" s="14" t="n">
        <v>51975.28571428572</v>
      </c>
      <c r="J52" s="13" t="n">
        <v>7</v>
      </c>
      <c r="K52" s="14" t="n">
        <v>103950.5714285714</v>
      </c>
    </row>
    <row r="53">
      <c r="A53" s="11" t="inlineStr">
        <is>
          <t>Tháng 7</t>
        </is>
      </c>
      <c r="B53" s="11" t="inlineStr">
        <is>
          <t>Tuần 4</t>
        </is>
      </c>
      <c r="C53" s="11" t="inlineStr">
        <is>
          <t>BU1</t>
        </is>
      </c>
      <c r="D53" s="10" t="inlineStr">
        <is>
          <t>[BU1] MSG | Trung Quốc | Q2-Q3-2026 - 21JUL2026</t>
        </is>
      </c>
      <c r="E53" s="10" t="inlineStr">
        <is>
          <t>[BU1] MSG | GIANG NAM| COLD |IMG</t>
        </is>
      </c>
      <c r="F53" s="10" t="inlineStr">
        <is>
          <t>[BU1] MSG | GIANG NAM| COLD |IMG</t>
        </is>
      </c>
      <c r="G53" s="24" t="n">
        <v>508942</v>
      </c>
      <c r="H53" s="23" t="n">
        <v>4</v>
      </c>
      <c r="I53" s="24" t="n">
        <v>127235.5</v>
      </c>
      <c r="J53" s="23" t="n">
        <v>1</v>
      </c>
      <c r="K53" s="24" t="n">
        <v>508942</v>
      </c>
    </row>
    <row r="54">
      <c r="A54" s="8" t="inlineStr">
        <is>
          <t>Tháng 7</t>
        </is>
      </c>
      <c r="B54" s="8" t="inlineStr">
        <is>
          <t>Tuần 4</t>
        </is>
      </c>
      <c r="C54" s="8" t="inlineStr">
        <is>
          <t>BU1</t>
        </is>
      </c>
      <c r="D54" s="7" t="inlineStr">
        <is>
          <t>[BU1] MSG | Trung Quốc | Q2-Q3-2026</t>
        </is>
      </c>
      <c r="E54" s="7" t="inlineStr">
        <is>
          <t>[BU1] Lệ Giang - Sa Khê Cổ Trấn | LEAD-MSG | COLD | 300K | Hình</t>
        </is>
      </c>
      <c r="F54" s="7" t="inlineStr">
        <is>
          <t>[BU1] | Lệ Giang - Sa Khê Cổ Trấn | IMG</t>
        </is>
      </c>
      <c r="G54" s="14" t="n">
        <v>180132</v>
      </c>
      <c r="H54" s="13" t="n">
        <v>1</v>
      </c>
      <c r="I54" s="14" t="n">
        <v>180132</v>
      </c>
      <c r="J54" s="13" t="n">
        <v>2</v>
      </c>
      <c r="K54" s="14" t="n">
        <v>90066</v>
      </c>
    </row>
    <row r="55">
      <c r="A55" s="11" t="inlineStr">
        <is>
          <t>Tháng 7</t>
        </is>
      </c>
      <c r="B55" s="11" t="inlineStr">
        <is>
          <t>Tuần 4</t>
        </is>
      </c>
      <c r="C55" s="11" t="inlineStr">
        <is>
          <t>BU1</t>
        </is>
      </c>
      <c r="D55" s="10" t="inlineStr">
        <is>
          <t>[BU1] MSG | Trung Quốc | 2026 | Daily</t>
        </is>
      </c>
      <c r="E55" s="10" t="inlineStr">
        <is>
          <t>[BU1] Trung Quốc | COLD | LEAD-MSG | 500K</t>
        </is>
      </c>
      <c r="F55" s="10" t="inlineStr">
        <is>
          <t>[BU1] | Trung Quốc Mùa Hè | IMG | Tổng Hợp 2026</t>
        </is>
      </c>
      <c r="G55" s="24" t="n">
        <v>34007</v>
      </c>
      <c r="H55" s="23" t="n">
        <v>0</v>
      </c>
      <c r="I55" s="24" t="n">
        <v>0</v>
      </c>
      <c r="J55" s="23" t="n">
        <v>0</v>
      </c>
      <c r="K55" s="24" t="n">
        <v>0</v>
      </c>
    </row>
    <row r="56">
      <c r="A56" s="8" t="inlineStr">
        <is>
          <t>Tháng 7</t>
        </is>
      </c>
      <c r="B56" s="8" t="inlineStr">
        <is>
          <t>Tuần 5</t>
        </is>
      </c>
      <c r="C56" s="8" t="inlineStr">
        <is>
          <t>BU1</t>
        </is>
      </c>
      <c r="D56" s="7" t="inlineStr">
        <is>
          <t>[BU1] MSG | Trung Quốc | Q2-Q3-2026</t>
        </is>
      </c>
      <c r="E56" s="7" t="inlineStr">
        <is>
          <t>[BU1] Thiên Tây Mùa Hè | COLD | LEAD-MSG | 400K | IMG</t>
        </is>
      </c>
      <c r="F56" s="7" t="inlineStr">
        <is>
          <t>[BU1] | Thiềm Tây Mùa Hè | IMG</t>
        </is>
      </c>
      <c r="G56" s="14" t="n">
        <v>1708339</v>
      </c>
      <c r="H56" s="13" t="n">
        <v>27</v>
      </c>
      <c r="I56" s="14" t="n">
        <v>63271.81481481482</v>
      </c>
      <c r="J56" s="13" t="n">
        <v>5</v>
      </c>
      <c r="K56" s="14" t="n">
        <v>341667.8</v>
      </c>
    </row>
    <row r="57">
      <c r="A57" s="11" t="inlineStr">
        <is>
          <t>Tháng 7</t>
        </is>
      </c>
      <c r="B57" s="11" t="inlineStr">
        <is>
          <t>Tuần 5</t>
        </is>
      </c>
      <c r="C57" s="11" t="inlineStr">
        <is>
          <t>BU1</t>
        </is>
      </c>
      <c r="D57" s="10" t="inlineStr">
        <is>
          <t>[BU1] MSG | Trung Quốc | Q2-Q3-2026</t>
        </is>
      </c>
      <c r="E57" s="10" t="inlineStr">
        <is>
          <t>[BU1] Tour 2/9 | COLD | LEAD-MSG | 300K | IMG-Tổng hợp</t>
        </is>
      </c>
      <c r="F57" s="10" t="inlineStr">
        <is>
          <t>[BU1] | Tour 2/9 | IMG | Tổng hợp</t>
        </is>
      </c>
      <c r="G57" s="24" t="n">
        <v>1643001</v>
      </c>
      <c r="H57" s="23" t="n">
        <v>36</v>
      </c>
      <c r="I57" s="24" t="n">
        <v>45638.91666666666</v>
      </c>
      <c r="J57" s="23" t="n">
        <v>12</v>
      </c>
      <c r="K57" s="24" t="n">
        <v>136916.75</v>
      </c>
    </row>
    <row r="58">
      <c r="A58" s="8" t="inlineStr">
        <is>
          <t>Tháng 7</t>
        </is>
      </c>
      <c r="B58" s="8" t="inlineStr">
        <is>
          <t>Tuần 5</t>
        </is>
      </c>
      <c r="C58" s="8" t="inlineStr">
        <is>
          <t>BU1</t>
        </is>
      </c>
      <c r="D58" s="7" t="inlineStr">
        <is>
          <t>[BU1] MSG | Trung Quốc | Q2-Q3-2026</t>
        </is>
      </c>
      <c r="E58" s="7" t="inlineStr">
        <is>
          <t>[BU1] Chuyến tàu Thanh Tạng | COLD | LEAD-MSG | 300K | IMG</t>
        </is>
      </c>
      <c r="F58" s="7" t="inlineStr">
        <is>
          <t>[BU1] Chuyến tàu Thanh Tạng | LEAD-MSG | 300K | IMG</t>
        </is>
      </c>
      <c r="G58" s="14" t="n">
        <v>601797</v>
      </c>
      <c r="H58" s="13" t="n">
        <v>94</v>
      </c>
      <c r="I58" s="14" t="n">
        <v>6402.095744680851</v>
      </c>
      <c r="J58" s="13" t="n">
        <v>7</v>
      </c>
      <c r="K58" s="14" t="n">
        <v>85971</v>
      </c>
    </row>
    <row r="59">
      <c r="A59" s="11" t="inlineStr">
        <is>
          <t>Tháng 7</t>
        </is>
      </c>
      <c r="B59" s="11" t="inlineStr">
        <is>
          <t>Tuần 5</t>
        </is>
      </c>
      <c r="C59" s="11" t="inlineStr">
        <is>
          <t>BU1</t>
        </is>
      </c>
      <c r="D59" s="10" t="inlineStr">
        <is>
          <t>[BU1] MSG | Trung Quốc | Q2-Q3-2026 - 21JUL2026</t>
        </is>
      </c>
      <c r="E59" s="10" t="inlineStr">
        <is>
          <t>[BU1] MSG | GIANG NAM| COLD |IMG</t>
        </is>
      </c>
      <c r="F59" s="10" t="inlineStr">
        <is>
          <t>[BU1] MSG | GIANG NAM| COLD |IMG</t>
        </is>
      </c>
      <c r="G59" s="24" t="n">
        <v>526761</v>
      </c>
      <c r="H59" s="23" t="n">
        <v>2</v>
      </c>
      <c r="I59" s="24" t="n">
        <v>263380.5</v>
      </c>
      <c r="J59" s="23" t="n">
        <v>5</v>
      </c>
      <c r="K59" s="24" t="n">
        <v>105352.2</v>
      </c>
    </row>
    <row r="60">
      <c r="A60" s="8" t="inlineStr">
        <is>
          <t>Tháng 7</t>
        </is>
      </c>
      <c r="B60" s="8" t="inlineStr">
        <is>
          <t>Tuần 5</t>
        </is>
      </c>
      <c r="C60" s="8" t="inlineStr">
        <is>
          <t>BU1</t>
        </is>
      </c>
      <c r="D60" s="7" t="inlineStr">
        <is>
          <t>[BU1] MSG | Trung Quốc | 2026 | Daily</t>
        </is>
      </c>
      <c r="E60" s="7" t="inlineStr">
        <is>
          <t>[BU1] Trung Quốc | COLD | LEAD-MSG | 500K</t>
        </is>
      </c>
      <c r="F60" s="7" t="inlineStr">
        <is>
          <t>[BU1] | Đạo Thành Á Đinh | VID</t>
        </is>
      </c>
      <c r="G60" s="14" t="n">
        <v>514425</v>
      </c>
      <c r="H60" s="13" t="n">
        <v>21</v>
      </c>
      <c r="I60" s="14" t="n">
        <v>24496.42857142857</v>
      </c>
      <c r="J60" s="13" t="n">
        <v>6</v>
      </c>
      <c r="K60" s="14" t="n">
        <v>85737.5</v>
      </c>
    </row>
    <row r="61">
      <c r="A61" s="11" t="inlineStr">
        <is>
          <t>Tháng 7</t>
        </is>
      </c>
      <c r="B61" s="11" t="inlineStr">
        <is>
          <t>Tuần 5</t>
        </is>
      </c>
      <c r="C61" s="11" t="inlineStr">
        <is>
          <t>BU1</t>
        </is>
      </c>
      <c r="D61" s="10" t="inlineStr">
        <is>
          <t>[BU1] MSG | Trung Quốc | Q2-Q3-2026</t>
        </is>
      </c>
      <c r="E61" s="10" t="inlineStr">
        <is>
          <t>[BU1] Lệ Giang - Sa Khê Cổ Trấn | LEAD-MSG | COLD | 300K | Hình</t>
        </is>
      </c>
      <c r="F61" s="10" t="inlineStr">
        <is>
          <t>[BU1] | Trung Quốc - Lệ Giang | VID | Video Lệ Giang 10 tháng 7 năm 2026</t>
        </is>
      </c>
      <c r="G61" s="24" t="n">
        <v>504334</v>
      </c>
      <c r="H61" s="23" t="n">
        <v>11</v>
      </c>
      <c r="I61" s="24" t="n">
        <v>45848.54545454546</v>
      </c>
      <c r="J61" s="23" t="n">
        <v>3</v>
      </c>
      <c r="K61" s="24" t="n">
        <v>168111.3333333333</v>
      </c>
    </row>
    <row r="62">
      <c r="A62" s="8" t="inlineStr">
        <is>
          <t>Tháng 7</t>
        </is>
      </c>
      <c r="B62" s="8" t="inlineStr">
        <is>
          <t>Tuần 5</t>
        </is>
      </c>
      <c r="C62" s="8" t="inlineStr">
        <is>
          <t>BU1</t>
        </is>
      </c>
      <c r="D62" s="7" t="inlineStr">
        <is>
          <t>[BU1] MSG | Trung Quốc | Q2-Q3-2026</t>
        </is>
      </c>
      <c r="E62" s="7" t="inlineStr">
        <is>
          <t>[BU1] Chuyến tàu Thanh Tạng | COLD | LEAD-MSG | 300K | VID</t>
        </is>
      </c>
      <c r="F62" s="7" t="inlineStr">
        <is>
          <t>[BU1] | Chuyến tàu Thanh Tạng | VID</t>
        </is>
      </c>
      <c r="G62" s="14" t="n">
        <v>469645</v>
      </c>
      <c r="H62" s="13" t="n">
        <v>6</v>
      </c>
      <c r="I62" s="14" t="n">
        <v>78274.16666666667</v>
      </c>
      <c r="J62" s="13" t="n">
        <v>0</v>
      </c>
      <c r="K62" s="14" t="n">
        <v>0</v>
      </c>
    </row>
    <row r="63">
      <c r="A63" s="11" t="inlineStr">
        <is>
          <t>Tháng 7</t>
        </is>
      </c>
      <c r="B63" s="11" t="inlineStr">
        <is>
          <t>Tuần 5</t>
        </is>
      </c>
      <c r="C63" s="11" t="inlineStr">
        <is>
          <t>BU1</t>
        </is>
      </c>
      <c r="D63" s="10" t="inlineStr">
        <is>
          <t>[BU1] MSG | Trung Quốc | Q2-Q3-2026</t>
        </is>
      </c>
      <c r="E63" s="10" t="inlineStr">
        <is>
          <t>[BU1] Lệ Giang - Sa Khê Cổ Trấn | LEAD-MSG | COLD | 300K | Hình</t>
        </is>
      </c>
      <c r="F63" s="10" t="inlineStr">
        <is>
          <t>[BU1] | Lệ Giang - Sa Khê Cổ Trấn | IMG</t>
        </is>
      </c>
      <c r="G63" s="24" t="n">
        <v>92646</v>
      </c>
      <c r="H63" s="23" t="n">
        <v>2</v>
      </c>
      <c r="I63" s="24" t="n">
        <v>46323</v>
      </c>
      <c r="J63" s="23" t="n">
        <v>2</v>
      </c>
      <c r="K63" s="24" t="n">
        <v>46323</v>
      </c>
    </row>
    <row r="64">
      <c r="A64" s="8" t="inlineStr">
        <is>
          <t>Tháng 7</t>
        </is>
      </c>
      <c r="B64" s="8" t="inlineStr">
        <is>
          <t>Tuần 1</t>
        </is>
      </c>
      <c r="C64" s="8" t="inlineStr">
        <is>
          <t>BU2</t>
        </is>
      </c>
      <c r="D64" s="7" t="inlineStr">
        <is>
          <t>[BU2] LEAD-MSG | H2-2026</t>
        </is>
      </c>
      <c r="E64" s="7" t="inlineStr">
        <is>
          <t>[BU2] Mông Cổ | LEAD-MSG | COLD | 300K</t>
        </is>
      </c>
      <c r="F64" s="7" t="inlineStr">
        <is>
          <t>[BU2] | Mông Cổ | IMG | Nửa cuối năm 2026</t>
        </is>
      </c>
      <c r="G64" s="14" t="n">
        <v>2000357</v>
      </c>
      <c r="H64" s="13" t="n">
        <v>19</v>
      </c>
      <c r="I64" s="14" t="n">
        <v>105281.9473684211</v>
      </c>
      <c r="J64" s="13" t="n">
        <v>9</v>
      </c>
      <c r="K64" s="14" t="n">
        <v>222261.8888888889</v>
      </c>
    </row>
    <row r="65">
      <c r="A65" s="11" t="inlineStr">
        <is>
          <t>Tháng 7</t>
        </is>
      </c>
      <c r="B65" s="11" t="inlineStr">
        <is>
          <t>Tuần 1</t>
        </is>
      </c>
      <c r="C65" s="11" t="inlineStr">
        <is>
          <t>BU2</t>
        </is>
      </c>
      <c r="D65" s="10" t="inlineStr">
        <is>
          <t>[BU2] LEAD-MSG | H2-2026</t>
        </is>
      </c>
      <c r="E65" s="10" t="inlineStr">
        <is>
          <t>[BU2] Pakistan | LEAD-MSG | COLD | 300K</t>
        </is>
      </c>
      <c r="F65" s="10" t="inlineStr">
        <is>
          <t>[BU2] | Pakistan | IMG | Nửa cuối năm 2026</t>
        </is>
      </c>
      <c r="G65" s="24" t="n">
        <v>1997414</v>
      </c>
      <c r="H65" s="23" t="n">
        <v>16</v>
      </c>
      <c r="I65" s="24" t="n">
        <v>124838.375</v>
      </c>
      <c r="J65" s="23" t="n">
        <v>12</v>
      </c>
      <c r="K65" s="24" t="n">
        <v>166451.1666666667</v>
      </c>
    </row>
    <row r="66">
      <c r="A66" s="8" t="inlineStr">
        <is>
          <t>Tháng 7</t>
        </is>
      </c>
      <c r="B66" s="8" t="inlineStr">
        <is>
          <t>Tuần 1</t>
        </is>
      </c>
      <c r="C66" s="8" t="inlineStr">
        <is>
          <t>BU2</t>
        </is>
      </c>
      <c r="D66" s="7" t="inlineStr">
        <is>
          <t>[BU2] LEAD-MSG | H2-2026</t>
        </is>
      </c>
      <c r="E66" s="7" t="inlineStr">
        <is>
          <t>[BU2] Nhật Bản | LEAD-MSG | COLD | 300K</t>
        </is>
      </c>
      <c r="F66" s="7" t="inlineStr">
        <is>
          <t>[BU2] | Nhật Bản | IMG | Nửa cuối năm 2026</t>
        </is>
      </c>
      <c r="G66" s="14" t="n">
        <v>1516248</v>
      </c>
      <c r="H66" s="13" t="n">
        <v>14</v>
      </c>
      <c r="I66" s="14" t="n">
        <v>108303.4285714286</v>
      </c>
      <c r="J66" s="13" t="n">
        <v>4</v>
      </c>
      <c r="K66" s="14" t="n">
        <v>379062</v>
      </c>
    </row>
    <row r="67">
      <c r="A67" s="11" t="inlineStr">
        <is>
          <t>Tháng 7</t>
        </is>
      </c>
      <c r="B67" s="11" t="inlineStr">
        <is>
          <t>Tuần 1</t>
        </is>
      </c>
      <c r="C67" s="11" t="inlineStr">
        <is>
          <t>BU2</t>
        </is>
      </c>
      <c r="D67" s="10" t="inlineStr">
        <is>
          <t>[BU2] LEAD-MSG | H2-2026</t>
        </is>
      </c>
      <c r="E67" s="10" t="inlineStr">
        <is>
          <t>[BU2] Pakistan | LEAD-MSG | COLD | 300K | Copy</t>
        </is>
      </c>
      <c r="F67" s="10" t="inlineStr">
        <is>
          <t>[BU2] | Pakistan | IMG | Early Bird</t>
        </is>
      </c>
      <c r="G67" s="24" t="n">
        <v>999260</v>
      </c>
      <c r="H67" s="23" t="n">
        <v>12</v>
      </c>
      <c r="I67" s="24" t="n">
        <v>83271.66666666667</v>
      </c>
      <c r="J67" s="23" t="n">
        <v>1</v>
      </c>
      <c r="K67" s="24" t="n">
        <v>999260</v>
      </c>
    </row>
    <row r="68">
      <c r="A68" s="8" t="inlineStr">
        <is>
          <t>Tháng 7</t>
        </is>
      </c>
      <c r="B68" s="8" t="inlineStr">
        <is>
          <t>Tuần 2</t>
        </is>
      </c>
      <c r="C68" s="8" t="inlineStr">
        <is>
          <t>BU2</t>
        </is>
      </c>
      <c r="D68" s="7" t="inlineStr">
        <is>
          <t>[BU2] LEAD-MSG | H2-2026</t>
        </is>
      </c>
      <c r="E68" s="7" t="inlineStr">
        <is>
          <t>[BU2] Mông Cổ | LEAD-MSG | COLD | 300K</t>
        </is>
      </c>
      <c r="F68" s="7" t="inlineStr">
        <is>
          <t>[BU2] | Mông Cổ | IMG | Nửa cuối năm 2026</t>
        </is>
      </c>
      <c r="G68" s="14" t="n">
        <v>2850682</v>
      </c>
      <c r="H68" s="13" t="n">
        <v>33</v>
      </c>
      <c r="I68" s="14" t="n">
        <v>86384.30303030302</v>
      </c>
      <c r="J68" s="13" t="n">
        <v>14</v>
      </c>
      <c r="K68" s="14" t="n">
        <v>203620.1428571429</v>
      </c>
    </row>
    <row r="69">
      <c r="A69" s="11" t="inlineStr">
        <is>
          <t>Tháng 7</t>
        </is>
      </c>
      <c r="B69" s="11" t="inlineStr">
        <is>
          <t>Tuần 2</t>
        </is>
      </c>
      <c r="C69" s="11" t="inlineStr">
        <is>
          <t>BU2</t>
        </is>
      </c>
      <c r="D69" s="10" t="inlineStr">
        <is>
          <t>[BU2] LEAD-MSG | H2-2026</t>
        </is>
      </c>
      <c r="E69" s="10" t="inlineStr">
        <is>
          <t>[BU2] Pakistan | LEAD-MSG | COLD | 300K</t>
        </is>
      </c>
      <c r="F69" s="10" t="inlineStr">
        <is>
          <t>[BU2] | Pakistan | IMG | Nửa cuối năm 2026</t>
        </is>
      </c>
      <c r="G69" s="24" t="n">
        <v>2810001</v>
      </c>
      <c r="H69" s="23" t="n">
        <v>23</v>
      </c>
      <c r="I69" s="24" t="n">
        <v>122173.9565217391</v>
      </c>
      <c r="J69" s="23" t="n">
        <v>17</v>
      </c>
      <c r="K69" s="24" t="n">
        <v>165294.1764705882</v>
      </c>
    </row>
    <row r="70">
      <c r="A70" s="8" t="inlineStr">
        <is>
          <t>Tháng 7</t>
        </is>
      </c>
      <c r="B70" s="8" t="inlineStr">
        <is>
          <t>Tuần 2</t>
        </is>
      </c>
      <c r="C70" s="8" t="inlineStr">
        <is>
          <t>BU2</t>
        </is>
      </c>
      <c r="D70" s="7" t="inlineStr">
        <is>
          <t>[BU2] LEAD-MSG | H2-2026</t>
        </is>
      </c>
      <c r="E70" s="7" t="inlineStr">
        <is>
          <t>[BU2] Nhật Bản | LEAD-MSG | COLD | 300K</t>
        </is>
      </c>
      <c r="F70" s="7" t="inlineStr">
        <is>
          <t>[BU2] | Nhật Bản | IMG | Nửa cuối năm 2026</t>
        </is>
      </c>
      <c r="G70" s="14" t="n">
        <v>1974105</v>
      </c>
      <c r="H70" s="13" t="n">
        <v>31</v>
      </c>
      <c r="I70" s="14" t="n">
        <v>63680.8064516129</v>
      </c>
      <c r="J70" s="13" t="n">
        <v>15</v>
      </c>
      <c r="K70" s="14" t="n">
        <v>131607</v>
      </c>
    </row>
    <row r="71">
      <c r="A71" s="11" t="inlineStr">
        <is>
          <t>Tháng 7</t>
        </is>
      </c>
      <c r="B71" s="11" t="inlineStr">
        <is>
          <t>Tuần 2</t>
        </is>
      </c>
      <c r="C71" s="11" t="inlineStr">
        <is>
          <t>BU2</t>
        </is>
      </c>
      <c r="D71" s="10" t="inlineStr">
        <is>
          <t>[BU2] LEAD-MSG | H2-2026</t>
        </is>
      </c>
      <c r="E71" s="10" t="inlineStr">
        <is>
          <t>[BU2] Pakistan | LEAD-MSG | COLD | 300K | Copy</t>
        </is>
      </c>
      <c r="F71" s="10" t="inlineStr">
        <is>
          <t>[BU2] | Pakistan | IMG | Early Bird</t>
        </is>
      </c>
      <c r="G71" s="24" t="n">
        <v>1420856</v>
      </c>
      <c r="H71" s="23" t="n">
        <v>12</v>
      </c>
      <c r="I71" s="24" t="n">
        <v>118404.6666666667</v>
      </c>
      <c r="J71" s="23" t="n">
        <v>3</v>
      </c>
      <c r="K71" s="24" t="n">
        <v>473618.6666666667</v>
      </c>
    </row>
    <row r="72">
      <c r="A72" s="8" t="inlineStr">
        <is>
          <t>Tháng 7</t>
        </is>
      </c>
      <c r="B72" s="8" t="inlineStr">
        <is>
          <t>Tuần 3</t>
        </is>
      </c>
      <c r="C72" s="8" t="inlineStr">
        <is>
          <t>BU2</t>
        </is>
      </c>
      <c r="D72" s="7" t="inlineStr">
        <is>
          <t>[BU2] LEAD-MSG | H2-2026</t>
        </is>
      </c>
      <c r="E72" s="7" t="inlineStr">
        <is>
          <t>[BU2] Nhật Bản | LEAD-MSG | COLD | 300K</t>
        </is>
      </c>
      <c r="F72" s="7" t="inlineStr">
        <is>
          <t>[BU2] | Nhật Bản | IMG | Nửa cuối năm 2026</t>
        </is>
      </c>
      <c r="G72" s="14" t="n">
        <v>2113612</v>
      </c>
      <c r="H72" s="13" t="n">
        <v>36</v>
      </c>
      <c r="I72" s="14" t="n">
        <v>58711.44444444445</v>
      </c>
      <c r="J72" s="13" t="n">
        <v>20</v>
      </c>
      <c r="K72" s="14" t="n">
        <v>105680.6</v>
      </c>
    </row>
    <row r="73">
      <c r="A73" s="11" t="inlineStr">
        <is>
          <t>Tháng 7</t>
        </is>
      </c>
      <c r="B73" s="11" t="inlineStr">
        <is>
          <t>Tuần 3</t>
        </is>
      </c>
      <c r="C73" s="11" t="inlineStr">
        <is>
          <t>BU2</t>
        </is>
      </c>
      <c r="D73" s="10" t="inlineStr">
        <is>
          <t>[BU2] LEAD-MSG | H2-2026</t>
        </is>
      </c>
      <c r="E73" s="10" t="inlineStr">
        <is>
          <t>[BU2] Mông Cổ | LEAD-MSG | COLD | 300K</t>
        </is>
      </c>
      <c r="F73" s="10" t="inlineStr">
        <is>
          <t>[BU2] | Mông Cổ | IMG | Nửa cuối năm 2026</t>
        </is>
      </c>
      <c r="G73" s="24" t="n">
        <v>1878857</v>
      </c>
      <c r="H73" s="23" t="n">
        <v>18</v>
      </c>
      <c r="I73" s="24" t="n">
        <v>104380.9444444444</v>
      </c>
      <c r="J73" s="23" t="n">
        <v>12</v>
      </c>
      <c r="K73" s="24" t="n">
        <v>156571.4166666667</v>
      </c>
    </row>
    <row r="74">
      <c r="A74" s="8" t="inlineStr">
        <is>
          <t>Tháng 7</t>
        </is>
      </c>
      <c r="B74" s="8" t="inlineStr">
        <is>
          <t>Tuần 3</t>
        </is>
      </c>
      <c r="C74" s="8" t="inlineStr">
        <is>
          <t>BU2</t>
        </is>
      </c>
      <c r="D74" s="7" t="inlineStr">
        <is>
          <t>[BU2] LEAD-MSG | H2-2026</t>
        </is>
      </c>
      <c r="E74" s="7" t="inlineStr">
        <is>
          <t>[BU2] Pakistan | LEAD-MSG | COLD | 300K</t>
        </is>
      </c>
      <c r="F74" s="7" t="inlineStr">
        <is>
          <t>[BU2] | Pakistan | IMG | Nửa cuối năm 2026</t>
        </is>
      </c>
      <c r="G74" s="14" t="n">
        <v>1818995</v>
      </c>
      <c r="H74" s="13" t="n">
        <v>17</v>
      </c>
      <c r="I74" s="14" t="n">
        <v>106999.7058823529</v>
      </c>
      <c r="J74" s="13" t="n">
        <v>8</v>
      </c>
      <c r="K74" s="14" t="n">
        <v>227374.375</v>
      </c>
    </row>
    <row r="75">
      <c r="A75" s="11" t="inlineStr">
        <is>
          <t>Tháng 7</t>
        </is>
      </c>
      <c r="B75" s="11" t="inlineStr">
        <is>
          <t>Tuần 3</t>
        </is>
      </c>
      <c r="C75" s="11" t="inlineStr">
        <is>
          <t>BU2</t>
        </is>
      </c>
      <c r="D75" s="10" t="inlineStr">
        <is>
          <t>[BU2] LEAD-MSG | H2-2026- Chạy từ 17 July 2026 - Tư vấn Facebook Ads</t>
        </is>
      </c>
      <c r="E75" s="10" t="inlineStr">
        <is>
          <t>[BU2] Pakistan | LEAD-MSG | COLD | 600K| HN + SG | Bài tổng | Cuối năm</t>
        </is>
      </c>
      <c r="F75" s="10" t="inlineStr">
        <is>
          <t>[BU2] Pakistan | IMG | CUỐI NĂM -BÀI TỔNG</t>
        </is>
      </c>
      <c r="G75" s="24" t="n">
        <v>1488144</v>
      </c>
      <c r="H75" s="23" t="n">
        <v>12</v>
      </c>
      <c r="I75" s="24" t="n">
        <v>124012</v>
      </c>
      <c r="J75" s="23" t="n">
        <v>2</v>
      </c>
      <c r="K75" s="24" t="n">
        <v>744072</v>
      </c>
    </row>
    <row r="76">
      <c r="A76" s="8" t="inlineStr">
        <is>
          <t>Tháng 7</t>
        </is>
      </c>
      <c r="B76" s="8" t="inlineStr">
        <is>
          <t>Tuần 3</t>
        </is>
      </c>
      <c r="C76" s="8" t="inlineStr">
        <is>
          <t>BU2</t>
        </is>
      </c>
      <c r="D76" s="7" t="inlineStr">
        <is>
          <t>[BU2] LEAD-MSG | H2-2026- Chạy từ 17 July 2026 - Tư vấn Facebook Ads</t>
        </is>
      </c>
      <c r="E76" s="7" t="inlineStr">
        <is>
          <t>[BU2] Mông Cổ | LEAD-MSG | COLD | 300K| HN + SG | Bài tổng | Cuối năm - Bản sao</t>
        </is>
      </c>
      <c r="F76" s="7" t="inlineStr">
        <is>
          <t>[BU2] Pakistan | IMG | CUỐI NĂM -BÀI TỔNG</t>
        </is>
      </c>
      <c r="G76" s="14" t="n">
        <v>1237173</v>
      </c>
      <c r="H76" s="13" t="n">
        <v>12</v>
      </c>
      <c r="I76" s="14" t="n">
        <v>103097.75</v>
      </c>
      <c r="J76" s="13" t="n">
        <v>3</v>
      </c>
      <c r="K76" s="14" t="n">
        <v>412391</v>
      </c>
    </row>
    <row r="77">
      <c r="A77" s="11" t="inlineStr">
        <is>
          <t>Tháng 7</t>
        </is>
      </c>
      <c r="B77" s="11" t="inlineStr">
        <is>
          <t>Tuần 3</t>
        </is>
      </c>
      <c r="C77" s="11" t="inlineStr">
        <is>
          <t>BU2</t>
        </is>
      </c>
      <c r="D77" s="10" t="inlineStr">
        <is>
          <t>[BU2] LEAD-MSG | H2-2026</t>
        </is>
      </c>
      <c r="E77" s="10" t="inlineStr">
        <is>
          <t>[BU2] Pakistan | LEAD-MSG | COLD | 300K | Copy</t>
        </is>
      </c>
      <c r="F77" s="10" t="inlineStr">
        <is>
          <t>[BU2] | Pakistan | IMG | Early Bird</t>
        </is>
      </c>
      <c r="G77" s="24" t="n">
        <v>759888</v>
      </c>
      <c r="H77" s="23" t="n">
        <v>12</v>
      </c>
      <c r="I77" s="24" t="n">
        <v>63324</v>
      </c>
      <c r="J77" s="23" t="n">
        <v>6</v>
      </c>
      <c r="K77" s="24" t="n">
        <v>126648</v>
      </c>
    </row>
    <row r="78">
      <c r="A78" s="8" t="inlineStr">
        <is>
          <t>Tháng 7</t>
        </is>
      </c>
      <c r="B78" s="8" t="inlineStr">
        <is>
          <t>Tuần 4</t>
        </is>
      </c>
      <c r="C78" s="8" t="inlineStr">
        <is>
          <t>BU2</t>
        </is>
      </c>
      <c r="D78" s="7" t="inlineStr">
        <is>
          <t>[BU2] LEAD-MSG | H2-2026- Chạy từ 17 July 2026 - Tư vấn Facebook Ads</t>
        </is>
      </c>
      <c r="E78" s="7" t="inlineStr">
        <is>
          <t>[BU2] Pakistan | LEAD-MSG | COLD | 600K| HN + SG | Bài tổng | Cuối năm</t>
        </is>
      </c>
      <c r="F78" s="7" t="inlineStr">
        <is>
          <t>[BU2] Pakistan | IMG | CUỐI NĂM - BÀI TƯƠNG TÁC</t>
        </is>
      </c>
      <c r="G78" s="14" t="n">
        <v>2509340</v>
      </c>
      <c r="H78" s="13" t="n">
        <v>65</v>
      </c>
      <c r="I78" s="14" t="n">
        <v>38605.23076923077</v>
      </c>
      <c r="J78" s="13" t="n">
        <v>9</v>
      </c>
      <c r="K78" s="14" t="n">
        <v>278815.5555555556</v>
      </c>
    </row>
    <row r="79">
      <c r="A79" s="11" t="inlineStr">
        <is>
          <t>Tháng 7</t>
        </is>
      </c>
      <c r="B79" s="11" t="inlineStr">
        <is>
          <t>Tuần 4</t>
        </is>
      </c>
      <c r="C79" s="11" t="inlineStr">
        <is>
          <t>BU2</t>
        </is>
      </c>
      <c r="D79" s="10" t="inlineStr">
        <is>
          <t>[BU2] LEAD-MSG | H2-2026- Chạy từ 17 July 2026 - Tư vấn Facebook Ads</t>
        </is>
      </c>
      <c r="E79" s="10" t="inlineStr">
        <is>
          <t>[BU2] Mông Cổ | LEAD-MSG | COLD | 300K| HN + SG | Bài tổng | Cuối năm - Bản sao</t>
        </is>
      </c>
      <c r="F79" s="10" t="inlineStr">
        <is>
          <t>[BU2] MÔNG CỔ | IMG | CUỐI NĂM -BÀI TỔNG</t>
        </is>
      </c>
      <c r="G79" s="24" t="n">
        <v>2473577</v>
      </c>
      <c r="H79" s="23" t="n">
        <v>19</v>
      </c>
      <c r="I79" s="24" t="n">
        <v>130188.2631578947</v>
      </c>
      <c r="J79" s="23" t="n">
        <v>6</v>
      </c>
      <c r="K79" s="24" t="n">
        <v>412262.8333333333</v>
      </c>
    </row>
    <row r="80">
      <c r="A80" s="8" t="inlineStr">
        <is>
          <t>Tháng 7</t>
        </is>
      </c>
      <c r="B80" s="8" t="inlineStr">
        <is>
          <t>Tuần 4</t>
        </is>
      </c>
      <c r="C80" s="8" t="inlineStr">
        <is>
          <t>BU2</t>
        </is>
      </c>
      <c r="D80" s="7" t="inlineStr">
        <is>
          <t>[BU2] LEAD-MSG | H2-2026- Chạy từ 17 July 2026 - Tư vấn Facebook Ads</t>
        </is>
      </c>
      <c r="E80" s="7" t="inlineStr">
        <is>
          <t>[BU2] Mông Cổ | LEAD-MSG | COLD | 300K| HN + SG | Bài tổng | Cuối năm - Bản sao</t>
        </is>
      </c>
      <c r="F80" s="7" t="inlineStr">
        <is>
          <t>[BU2] MÔNG CỔ | IMG | CUỐI NĂM -BÀI TỔNG</t>
        </is>
      </c>
      <c r="G80" s="14" t="n">
        <v>1988522</v>
      </c>
      <c r="H80" s="13" t="n">
        <v>28</v>
      </c>
      <c r="I80" s="14" t="n">
        <v>71018.64285714286</v>
      </c>
      <c r="J80" s="13" t="n">
        <v>5</v>
      </c>
      <c r="K80" s="14" t="n">
        <v>397704.4</v>
      </c>
    </row>
    <row r="81">
      <c r="A81" s="11" t="inlineStr">
        <is>
          <t>Tháng 7</t>
        </is>
      </c>
      <c r="B81" s="11" t="inlineStr">
        <is>
          <t>Tuần 4</t>
        </is>
      </c>
      <c r="C81" s="11" t="inlineStr">
        <is>
          <t>BU2</t>
        </is>
      </c>
      <c r="D81" s="10" t="inlineStr">
        <is>
          <t>[BU2] LEAD-MSG | H2-2026</t>
        </is>
      </c>
      <c r="E81" s="10" t="inlineStr">
        <is>
          <t>[BU2] Nhật Bản | LEAD-MSG | COLD | 300K</t>
        </is>
      </c>
      <c r="F81" s="10" t="inlineStr">
        <is>
          <t>[BU2] | Nhật Bản | IMG | Nửa cuối năm 2026</t>
        </is>
      </c>
      <c r="G81" s="24" t="n">
        <v>1806734</v>
      </c>
      <c r="H81" s="23" t="n">
        <v>35</v>
      </c>
      <c r="I81" s="24" t="n">
        <v>51620.97142857143</v>
      </c>
      <c r="J81" s="23" t="n">
        <v>10</v>
      </c>
      <c r="K81" s="24" t="n">
        <v>180673.4</v>
      </c>
    </row>
    <row r="82">
      <c r="A82" s="8" t="inlineStr">
        <is>
          <t>Tháng 7</t>
        </is>
      </c>
      <c r="B82" s="8" t="inlineStr">
        <is>
          <t>Tuần 4</t>
        </is>
      </c>
      <c r="C82" s="8" t="inlineStr">
        <is>
          <t>BU2</t>
        </is>
      </c>
      <c r="D82" s="7" t="inlineStr">
        <is>
          <t>[BU2] LEAD-MSG | H2-2026- Chạy từ 17 July 2026 - Tư vấn Facebook Ads</t>
        </is>
      </c>
      <c r="E82" s="7" t="inlineStr">
        <is>
          <t>[BU2] Pakistan | LEAD-MSG | COLD | 600K| HN + SG | Bài tổng | Cuối năm</t>
        </is>
      </c>
      <c r="F82" s="7" t="inlineStr">
        <is>
          <t>[BU2] Pakistan | IMG | CUỐI NĂM -BÀI TỔNG</t>
        </is>
      </c>
      <c r="G82" s="14" t="n">
        <v>1531902</v>
      </c>
      <c r="H82" s="13" t="n">
        <v>16</v>
      </c>
      <c r="I82" s="14" t="n">
        <v>95743.875</v>
      </c>
      <c r="J82" s="13" t="n">
        <v>10</v>
      </c>
      <c r="K82" s="14" t="n">
        <v>153190.2</v>
      </c>
    </row>
    <row r="83">
      <c r="A83" s="11" t="inlineStr">
        <is>
          <t>Tháng 7</t>
        </is>
      </c>
      <c r="B83" s="11" t="inlineStr">
        <is>
          <t>Tuần 4</t>
        </is>
      </c>
      <c r="C83" s="11" t="inlineStr">
        <is>
          <t>BU2</t>
        </is>
      </c>
      <c r="D83" s="10" t="inlineStr">
        <is>
          <t>[BU2] LEAD-MSG | H2-2026</t>
        </is>
      </c>
      <c r="E83" s="10" t="inlineStr">
        <is>
          <t>[BU2] Pakistan | LEAD-MSG | COLD | 300K</t>
        </is>
      </c>
      <c r="F83" s="10" t="inlineStr">
        <is>
          <t>[BU2] | Pakistan | IMG | Nửa cuối năm 2026</t>
        </is>
      </c>
      <c r="G83" s="24" t="n">
        <v>0</v>
      </c>
      <c r="H83" s="23" t="n">
        <v>1</v>
      </c>
      <c r="I83" s="24" t="n">
        <v>0</v>
      </c>
      <c r="J83" s="23" t="n">
        <v>0</v>
      </c>
      <c r="K83" s="24" t="n">
        <v>0</v>
      </c>
    </row>
    <row r="84">
      <c r="A84" s="8" t="inlineStr">
        <is>
          <t>Tháng 7</t>
        </is>
      </c>
      <c r="B84" s="8" t="inlineStr">
        <is>
          <t>Tuần 5</t>
        </is>
      </c>
      <c r="C84" s="8" t="inlineStr">
        <is>
          <t>BU2</t>
        </is>
      </c>
      <c r="D84" s="7" t="inlineStr">
        <is>
          <t>[BU2] LEAD-MSG | H2-2026- Chạy từ 17 July 2026 - Tư vấn Facebook Ads</t>
        </is>
      </c>
      <c r="E84" s="7" t="inlineStr">
        <is>
          <t>[BU2] Mông Cổ | LEAD-MSG | COLD | 300K| HN + SG | Bài tổng | Cuối năm - Bản sao</t>
        </is>
      </c>
      <c r="F84" s="7" t="inlineStr">
        <is>
          <t>[BU2] MÔNG CỔ | IMG | CUỐI NĂM -BÀI TỔNG</t>
        </is>
      </c>
      <c r="G84" s="14" t="n">
        <v>3098417</v>
      </c>
      <c r="H84" s="13" t="n">
        <v>68</v>
      </c>
      <c r="I84" s="14" t="n">
        <v>45564.95588235294</v>
      </c>
      <c r="J84" s="13" t="n">
        <v>12</v>
      </c>
      <c r="K84" s="14" t="n">
        <v>258201.4166666667</v>
      </c>
    </row>
    <row r="85">
      <c r="A85" s="11" t="inlineStr">
        <is>
          <t>Tháng 7</t>
        </is>
      </c>
      <c r="B85" s="11" t="inlineStr">
        <is>
          <t>Tuần 5</t>
        </is>
      </c>
      <c r="C85" s="11" t="inlineStr">
        <is>
          <t>BU2</t>
        </is>
      </c>
      <c r="D85" s="10" t="inlineStr">
        <is>
          <t>[BU2] LEAD-MSG | H2-2026- Chạy từ 17 July 2026 - Tư vấn Facebook Ads</t>
        </is>
      </c>
      <c r="E85" s="10" t="inlineStr">
        <is>
          <t>[BU2] Pakistan | LEAD-MSG | COLD | 600K| HN + SG | Bài tổng | Cuối năm</t>
        </is>
      </c>
      <c r="F85" s="10" t="inlineStr">
        <is>
          <t>[BU2] Pakistan | IMG | CUỐI NĂM - BÀI TƯƠNG TÁC</t>
        </is>
      </c>
      <c r="G85" s="24" t="n">
        <v>3089606</v>
      </c>
      <c r="H85" s="23" t="n">
        <v>50</v>
      </c>
      <c r="I85" s="24" t="n">
        <v>61792.12</v>
      </c>
      <c r="J85" s="23" t="n">
        <v>18</v>
      </c>
      <c r="K85" s="24" t="n">
        <v>171644.7777777778</v>
      </c>
    </row>
    <row r="86">
      <c r="A86" s="8" t="inlineStr">
        <is>
          <t>Tháng 7</t>
        </is>
      </c>
      <c r="B86" s="8" t="inlineStr">
        <is>
          <t>Tuần 5</t>
        </is>
      </c>
      <c r="C86" s="8" t="inlineStr">
        <is>
          <t>BU2</t>
        </is>
      </c>
      <c r="D86" s="7" t="inlineStr">
        <is>
          <t>[BU2] LEAD-MSG | H2-2026</t>
        </is>
      </c>
      <c r="E86" s="7" t="inlineStr">
        <is>
          <t>[BU2] Nhật Bản | LEAD-MSG | COLD | 300K</t>
        </is>
      </c>
      <c r="F86" s="7" t="inlineStr">
        <is>
          <t>[BU2] | Nhật Bản | IMG | Nửa cuối năm 2026</t>
        </is>
      </c>
      <c r="G86" s="14" t="n">
        <v>1027461</v>
      </c>
      <c r="H86" s="13" t="n">
        <v>17</v>
      </c>
      <c r="I86" s="14" t="n">
        <v>60438.88235294117</v>
      </c>
      <c r="J86" s="13" t="n">
        <v>6</v>
      </c>
      <c r="K86" s="14" t="n">
        <v>171243.5</v>
      </c>
    </row>
    <row r="87">
      <c r="A87" s="11" t="inlineStr">
        <is>
          <t>Tháng 7</t>
        </is>
      </c>
      <c r="B87" s="11" t="inlineStr">
        <is>
          <t>Tuần 5</t>
        </is>
      </c>
      <c r="C87" s="11" t="inlineStr">
        <is>
          <t>BU2</t>
        </is>
      </c>
      <c r="D87" s="10" t="inlineStr">
        <is>
          <t>[BU2] LEAD-MSG | H2-2026- Chạy từ 17 July 2026 - Tư vấn Facebook Ads</t>
        </is>
      </c>
      <c r="E87" s="10" t="inlineStr">
        <is>
          <t>[BU2] Pakistan | LEAD-MSG | COLD | 600K| HN + SG | Bài tổng | Cuối năm</t>
        </is>
      </c>
      <c r="F87" s="10" t="inlineStr">
        <is>
          <t>[BU2] Pakistan | IMG | CUỐI NĂM -BÀI TỔNG</t>
        </is>
      </c>
      <c r="G87" s="24" t="n">
        <v>47381</v>
      </c>
      <c r="H87" s="23" t="n">
        <v>1</v>
      </c>
      <c r="I87" s="24" t="n">
        <v>47381</v>
      </c>
      <c r="J87" s="23" t="n">
        <v>1</v>
      </c>
      <c r="K87" s="24" t="n">
        <v>47381</v>
      </c>
    </row>
    <row r="88">
      <c r="A88" s="8" t="inlineStr">
        <is>
          <t>Tháng 7</t>
        </is>
      </c>
      <c r="B88" s="8" t="inlineStr">
        <is>
          <t>Tuần 5</t>
        </is>
      </c>
      <c r="C88" s="8" t="inlineStr">
        <is>
          <t>BU2</t>
        </is>
      </c>
      <c r="D88" s="7" t="inlineStr">
        <is>
          <t>[BU2] LEAD-MSG | H2-2026- Chạy từ 17 July 2026 - Tư vấn Facebook Ads</t>
        </is>
      </c>
      <c r="E88" s="7" t="inlineStr">
        <is>
          <t>[BU2] Mông Cổ | LEAD-MSG | COLD | 300K| HN + SG | Bài tổng | Cuối năm - Bản sao</t>
        </is>
      </c>
      <c r="F88" s="7" t="inlineStr">
        <is>
          <t>[BU2] MÔNG CỔ | IMG | CUỐI NĂM -BÀI TỔNG</t>
        </is>
      </c>
      <c r="G88" s="14" t="n">
        <v>21613</v>
      </c>
      <c r="H88" s="13" t="n">
        <v>0</v>
      </c>
      <c r="I88" s="14" t="n">
        <v>0</v>
      </c>
      <c r="J88" s="13" t="n">
        <v>1</v>
      </c>
      <c r="K88" s="14" t="n">
        <v>21613</v>
      </c>
    </row>
    <row r="89">
      <c r="A89" s="11" t="inlineStr">
        <is>
          <t>Tháng 7</t>
        </is>
      </c>
      <c r="B89" s="11" t="inlineStr">
        <is>
          <t>Tuần 1</t>
        </is>
      </c>
      <c r="C89" s="11" t="inlineStr">
        <is>
          <t>BU4</t>
        </is>
      </c>
      <c r="D89" s="10" t="inlineStr">
        <is>
          <t>[BU4] LEAD-MSG | H2-2026</t>
        </is>
      </c>
      <c r="E89" s="10" t="inlineStr">
        <is>
          <t>[BU4] Bhutan | LEAD-MSG | COLD | 400K | Hình | Bài tổng | Cuối năm</t>
        </is>
      </c>
      <c r="F89" s="10" t="inlineStr">
        <is>
          <t>[BU4] | Bhutan | IMG | Cuối năm - Bài tổng</t>
        </is>
      </c>
      <c r="G89" s="24" t="n">
        <v>1994200</v>
      </c>
      <c r="H89" s="23" t="n">
        <v>34</v>
      </c>
      <c r="I89" s="24" t="n">
        <v>58652.94117647059</v>
      </c>
      <c r="J89" s="23" t="n">
        <v>5</v>
      </c>
      <c r="K89" s="24" t="n">
        <v>398840</v>
      </c>
    </row>
    <row r="90">
      <c r="A90" s="8" t="inlineStr">
        <is>
          <t>Tháng 7</t>
        </is>
      </c>
      <c r="B90" s="8" t="inlineStr">
        <is>
          <t>Tuần 1</t>
        </is>
      </c>
      <c r="C90" s="8" t="inlineStr">
        <is>
          <t>BU4</t>
        </is>
      </c>
      <c r="D90" s="7" t="inlineStr">
        <is>
          <t>[BU4] LEAD-MSG | H2-2026</t>
        </is>
      </c>
      <c r="E90" s="7" t="inlineStr">
        <is>
          <t>[BU4] Ladakh | LEAD-MSG | COLD | 400K | Hình | Cuối năm</t>
        </is>
      </c>
      <c r="F90" s="7" t="inlineStr">
        <is>
          <t>[BU4] | Ladakh | IMG | Cuối năm - Bài tổng</t>
        </is>
      </c>
      <c r="G90" s="14" t="n">
        <v>1969446</v>
      </c>
      <c r="H90" s="13" t="n">
        <v>26</v>
      </c>
      <c r="I90" s="14" t="n">
        <v>75747.92307692308</v>
      </c>
      <c r="J90" s="13" t="n">
        <v>5</v>
      </c>
      <c r="K90" s="14" t="n">
        <v>393889.2</v>
      </c>
    </row>
    <row r="91">
      <c r="A91" s="11" t="inlineStr">
        <is>
          <t>Tháng 7</t>
        </is>
      </c>
      <c r="B91" s="11" t="inlineStr">
        <is>
          <t>Tuần 1</t>
        </is>
      </c>
      <c r="C91" s="11" t="inlineStr">
        <is>
          <t>BU4</t>
        </is>
      </c>
      <c r="D91" s="10" t="inlineStr">
        <is>
          <t>[BU4] LEAD-MSG | H2-2026</t>
        </is>
      </c>
      <c r="E91" s="10" t="inlineStr">
        <is>
          <t>[BU4] Ladakh | LEAD-MSG | COLD | 200K | Hình | Cảm ơn khách</t>
        </is>
      </c>
      <c r="F91" s="10" t="inlineStr">
        <is>
          <t>[BU4] | Ladakh | IMG | Cảm ơn khách</t>
        </is>
      </c>
      <c r="G91" s="24" t="n">
        <v>1005389</v>
      </c>
      <c r="H91" s="23" t="n">
        <v>10</v>
      </c>
      <c r="I91" s="24" t="n">
        <v>100538.9</v>
      </c>
      <c r="J91" s="23" t="n">
        <v>7</v>
      </c>
      <c r="K91" s="24" t="n">
        <v>143627</v>
      </c>
    </row>
    <row r="92">
      <c r="A92" s="8" t="inlineStr">
        <is>
          <t>Tháng 7</t>
        </is>
      </c>
      <c r="B92" s="8" t="inlineStr">
        <is>
          <t>Tuần 1</t>
        </is>
      </c>
      <c r="C92" s="8" t="inlineStr">
        <is>
          <t>BU4</t>
        </is>
      </c>
      <c r="D92" s="7" t="inlineStr">
        <is>
          <t>[BU4] LEAD-MSG | H2-2026</t>
        </is>
      </c>
      <c r="E92" s="7" t="inlineStr">
        <is>
          <t>[BU4] Ladakh | LEAD-MSG | COLD | 200K | Hết năm</t>
        </is>
      </c>
      <c r="F92" s="7" t="inlineStr">
        <is>
          <t>[BU4] LADAKH 2026 -&gt; HẾT NĂM</t>
        </is>
      </c>
      <c r="G92" s="14" t="n">
        <v>974666</v>
      </c>
      <c r="H92" s="13" t="n">
        <v>41</v>
      </c>
      <c r="I92" s="14" t="n">
        <v>23772.34146341464</v>
      </c>
      <c r="J92" s="13" t="n">
        <v>9</v>
      </c>
      <c r="K92" s="14" t="n">
        <v>108296.2222222222</v>
      </c>
    </row>
    <row r="93">
      <c r="A93" s="11" t="inlineStr">
        <is>
          <t>Tháng 7</t>
        </is>
      </c>
      <c r="B93" s="11" t="inlineStr">
        <is>
          <t>Tuần 1</t>
        </is>
      </c>
      <c r="C93" s="11" t="inlineStr">
        <is>
          <t>BU4</t>
        </is>
      </c>
      <c r="D93" s="10" t="inlineStr">
        <is>
          <t>[BU4] MSG | 2026 | Daily 200K</t>
        </is>
      </c>
      <c r="E93" s="10" t="inlineStr">
        <is>
          <t>[BU4] Bromo Bali | HCM+30km,22+ | LEAD-MSG | 100K | Video</t>
        </is>
      </c>
      <c r="F93" s="10" t="inlineStr">
        <is>
          <t>[Video] QC Bài viết BromoBali có sẳn - Video Voice off</t>
        </is>
      </c>
      <c r="G93" s="24" t="n">
        <v>673823</v>
      </c>
      <c r="H93" s="23" t="n">
        <v>17</v>
      </c>
      <c r="I93" s="24" t="n">
        <v>39636.64705882353</v>
      </c>
      <c r="J93" s="23" t="n">
        <v>8</v>
      </c>
      <c r="K93" s="24" t="n">
        <v>84227.875</v>
      </c>
    </row>
    <row r="94">
      <c r="A94" s="8" t="inlineStr">
        <is>
          <t>Tháng 7</t>
        </is>
      </c>
      <c r="B94" s="8" t="inlineStr">
        <is>
          <t>Tuần 1</t>
        </is>
      </c>
      <c r="C94" s="8" t="inlineStr">
        <is>
          <t>BU4</t>
        </is>
      </c>
      <c r="D94" s="7" t="inlineStr">
        <is>
          <t>[BU4] MSG | 2026 | Daily 200K</t>
        </is>
      </c>
      <c r="E94" s="7" t="inlineStr">
        <is>
          <t>[BU4] Bromo Bali | HCM+30km,22+ | LEAD-MSG | 100K | Video</t>
        </is>
      </c>
      <c r="F94" s="7" t="inlineStr">
        <is>
          <t>[Ảnh] Bromo - Bài có sẳn: Đi 1 nơi tắt được Internet</t>
        </is>
      </c>
      <c r="G94" s="14" t="n">
        <v>233170</v>
      </c>
      <c r="H94" s="13" t="n">
        <v>4</v>
      </c>
      <c r="I94" s="14" t="n">
        <v>58292.5</v>
      </c>
      <c r="J94" s="13" t="n">
        <v>0</v>
      </c>
      <c r="K94" s="14" t="n">
        <v>0</v>
      </c>
    </row>
    <row r="95">
      <c r="A95" s="11" t="inlineStr">
        <is>
          <t>Tháng 7</t>
        </is>
      </c>
      <c r="B95" s="11" t="inlineStr">
        <is>
          <t>Tuần 2</t>
        </is>
      </c>
      <c r="C95" s="11" t="inlineStr">
        <is>
          <t>BU4</t>
        </is>
      </c>
      <c r="D95" s="10" t="inlineStr">
        <is>
          <t>[BU4] LEAD-MSG | H2-2026</t>
        </is>
      </c>
      <c r="E95" s="10" t="inlineStr">
        <is>
          <t>[BU4] Ladakh | LEAD-MSG | TPHCM+17km, 23+ | 600K | Hình + Video | Cuối năm</t>
        </is>
      </c>
      <c r="F95" s="10" t="inlineStr">
        <is>
          <t>[BU4] | Ladakh | IMG | Cuối năm - Bài tổng</t>
        </is>
      </c>
      <c r="G95" s="24" t="n">
        <v>2035158</v>
      </c>
      <c r="H95" s="23" t="n">
        <v>27</v>
      </c>
      <c r="I95" s="24" t="n">
        <v>75376.22222222222</v>
      </c>
      <c r="J95" s="23" t="n">
        <v>8</v>
      </c>
      <c r="K95" s="24" t="n">
        <v>254394.75</v>
      </c>
    </row>
    <row r="96">
      <c r="A96" s="8" t="inlineStr">
        <is>
          <t>Tháng 7</t>
        </is>
      </c>
      <c r="B96" s="8" t="inlineStr">
        <is>
          <t>Tuần 2</t>
        </is>
      </c>
      <c r="C96" s="8" t="inlineStr">
        <is>
          <t>BU4</t>
        </is>
      </c>
      <c r="D96" s="7" t="inlineStr">
        <is>
          <t>[BU4] LEAD-MSG | H2-2026</t>
        </is>
      </c>
      <c r="E96" s="7" t="inlineStr">
        <is>
          <t>[BU4] Bhutan | LEAD-MSG | COLD | 400K | HN + SG | Bài tổng | Cuối năm</t>
        </is>
      </c>
      <c r="F96" s="7" t="inlineStr">
        <is>
          <t>[BU4] | Bhutan | IMG | Cuối năm - Bài tổng</t>
        </is>
      </c>
      <c r="G96" s="14" t="n">
        <v>1805335</v>
      </c>
      <c r="H96" s="13" t="n">
        <v>25</v>
      </c>
      <c r="I96" s="14" t="n">
        <v>72213.39999999999</v>
      </c>
      <c r="J96" s="13" t="n">
        <v>8</v>
      </c>
      <c r="K96" s="14" t="n">
        <v>225666.875</v>
      </c>
    </row>
    <row r="97">
      <c r="A97" s="11" t="inlineStr">
        <is>
          <t>Tháng 7</t>
        </is>
      </c>
      <c r="B97" s="11" t="inlineStr">
        <is>
          <t>Tuần 2</t>
        </is>
      </c>
      <c r="C97" s="11" t="inlineStr">
        <is>
          <t>BU4</t>
        </is>
      </c>
      <c r="D97" s="10" t="inlineStr">
        <is>
          <t>[BU4] LEAD-MSG | H2-2026</t>
        </is>
      </c>
      <c r="E97" s="10" t="inlineStr">
        <is>
          <t>[BU4] Ladakh | LEAD-MSG | TPHCM+17km, 23+ | 600K | Hình + Video | Cuối năm</t>
        </is>
      </c>
      <c r="F97" s="10" t="inlineStr">
        <is>
          <t>[BU4] | Ladakh | VID | Video giới thiệu Ladakh KOP Dinh 10 July 2026</t>
        </is>
      </c>
      <c r="G97" s="24" t="n">
        <v>1305966</v>
      </c>
      <c r="H97" s="23" t="n">
        <v>15</v>
      </c>
      <c r="I97" s="24" t="n">
        <v>87064.39999999999</v>
      </c>
      <c r="J97" s="23" t="n">
        <v>2</v>
      </c>
      <c r="K97" s="24" t="n">
        <v>652983</v>
      </c>
    </row>
    <row r="98">
      <c r="A98" s="8" t="inlineStr">
        <is>
          <t>Tháng 7</t>
        </is>
      </c>
      <c r="B98" s="8" t="inlineStr">
        <is>
          <t>Tuần 2</t>
        </is>
      </c>
      <c r="C98" s="8" t="inlineStr">
        <is>
          <t>BU4</t>
        </is>
      </c>
      <c r="D98" s="7" t="inlineStr">
        <is>
          <t>[BU4] LEAD-MSG | H2-2026</t>
        </is>
      </c>
      <c r="E98" s="7" t="inlineStr">
        <is>
          <t>[BU4] Bhutan | LEAD-MSG | COLD | 400K | HN + SG | Bài tổng | Cuối năm</t>
        </is>
      </c>
      <c r="F98" s="7" t="inlineStr">
        <is>
          <t>[BU4] | Bhutan | CLIP | Cuối năm - Bài tổng v2</t>
        </is>
      </c>
      <c r="G98" s="14" t="n">
        <v>1088738</v>
      </c>
      <c r="H98" s="13" t="n">
        <v>34</v>
      </c>
      <c r="I98" s="14" t="n">
        <v>32021.70588235294</v>
      </c>
      <c r="J98" s="13" t="n">
        <v>1</v>
      </c>
      <c r="K98" s="14" t="n">
        <v>1088738</v>
      </c>
    </row>
    <row r="99">
      <c r="A99" s="11" t="inlineStr">
        <is>
          <t>Tháng 7</t>
        </is>
      </c>
      <c r="B99" s="11" t="inlineStr">
        <is>
          <t>Tuần 2</t>
        </is>
      </c>
      <c r="C99" s="11" t="inlineStr">
        <is>
          <t>BU4</t>
        </is>
      </c>
      <c r="D99" s="10" t="inlineStr">
        <is>
          <t>[BU4] LEAD-MSG | H2-2026</t>
        </is>
      </c>
      <c r="E99" s="10" t="inlineStr">
        <is>
          <t>[BU4] Ladakh | LEAD-MSG | COLD | 200K | Hình | Cảm ơn khách</t>
        </is>
      </c>
      <c r="F99" s="10" t="inlineStr">
        <is>
          <t>[BU4] | Ladakh | IMG | Cảm ơn khách</t>
        </is>
      </c>
      <c r="G99" s="24" t="n">
        <v>966423</v>
      </c>
      <c r="H99" s="23" t="n">
        <v>5</v>
      </c>
      <c r="I99" s="24" t="n">
        <v>193284.6</v>
      </c>
      <c r="J99" s="23" t="n">
        <v>10</v>
      </c>
      <c r="K99" s="24" t="n">
        <v>96642.3</v>
      </c>
    </row>
    <row r="100">
      <c r="A100" s="8" t="inlineStr">
        <is>
          <t>Tháng 7</t>
        </is>
      </c>
      <c r="B100" s="8" t="inlineStr">
        <is>
          <t>Tuần 2</t>
        </is>
      </c>
      <c r="C100" s="8" t="inlineStr">
        <is>
          <t>BU4</t>
        </is>
      </c>
      <c r="D100" s="7" t="inlineStr">
        <is>
          <t>[BU4] LEAD-MSG | H2-2026</t>
        </is>
      </c>
      <c r="E100" s="7" t="inlineStr">
        <is>
          <t>[BU4] Ladakh | LEAD-MSG | COLD | 200K | Hết năm</t>
        </is>
      </c>
      <c r="F100" s="7" t="inlineStr">
        <is>
          <t>[BU4] LADAKH 2026 -&gt; HẾT NĂM</t>
        </is>
      </c>
      <c r="G100" s="14" t="n">
        <v>962474</v>
      </c>
      <c r="H100" s="13" t="n">
        <v>21</v>
      </c>
      <c r="I100" s="14" t="n">
        <v>45832.09523809524</v>
      </c>
      <c r="J100" s="13" t="n">
        <v>7</v>
      </c>
      <c r="K100" s="14" t="n">
        <v>137496.2857142857</v>
      </c>
    </row>
    <row r="101">
      <c r="A101" s="11" t="inlineStr">
        <is>
          <t>Tháng 7</t>
        </is>
      </c>
      <c r="B101" s="11" t="inlineStr">
        <is>
          <t>Tuần 2</t>
        </is>
      </c>
      <c r="C101" s="11" t="inlineStr">
        <is>
          <t>BU4</t>
        </is>
      </c>
      <c r="D101" s="10" t="inlineStr">
        <is>
          <t>[BU4] MSG | 2026 | Daily 200K</t>
        </is>
      </c>
      <c r="E101" s="10" t="inlineStr">
        <is>
          <t>[BU4] Bromo Bali | HCM+30km,22+ | LEAD-MSG | 100K | Video</t>
        </is>
      </c>
      <c r="F101" s="10" t="inlineStr">
        <is>
          <t>[Ảnh] Bromo - Bài có sẳn: Đi 1 nơi tắt được Internet</t>
        </is>
      </c>
      <c r="G101" s="24" t="n">
        <v>61287</v>
      </c>
      <c r="H101" s="23" t="n">
        <v>0</v>
      </c>
      <c r="I101" s="24" t="n">
        <v>0</v>
      </c>
      <c r="J101" s="23" t="n">
        <v>0</v>
      </c>
      <c r="K101" s="24" t="n">
        <v>0</v>
      </c>
    </row>
    <row r="102">
      <c r="A102" s="8" t="inlineStr">
        <is>
          <t>Tháng 7</t>
        </is>
      </c>
      <c r="B102" s="8" t="inlineStr">
        <is>
          <t>Tuần 3</t>
        </is>
      </c>
      <c r="C102" s="8" t="inlineStr">
        <is>
          <t>BU4</t>
        </is>
      </c>
      <c r="D102" s="7" t="inlineStr">
        <is>
          <t>[BU4] LEAD-MSG | H2-2026</t>
        </is>
      </c>
      <c r="E102" s="7" t="inlineStr">
        <is>
          <t>[BU4] Ladakh | LEAD-MSG | TPHCM+17km, 23+ | 600K | Hình + Video | Cuối năm</t>
        </is>
      </c>
      <c r="F102" s="7" t="inlineStr">
        <is>
          <t>[BU4] | Ladakh | VID | Video giới thiệu Ladakh KOP Dinh 10 July 2026</t>
        </is>
      </c>
      <c r="G102" s="14" t="n">
        <v>1533928</v>
      </c>
      <c r="H102" s="13" t="n">
        <v>16</v>
      </c>
      <c r="I102" s="14" t="n">
        <v>95870.5</v>
      </c>
      <c r="J102" s="13" t="n">
        <v>6</v>
      </c>
      <c r="K102" s="14" t="n">
        <v>255654.6666666667</v>
      </c>
    </row>
    <row r="103">
      <c r="A103" s="11" t="inlineStr">
        <is>
          <t>Tháng 7</t>
        </is>
      </c>
      <c r="B103" s="11" t="inlineStr">
        <is>
          <t>Tuần 3</t>
        </is>
      </c>
      <c r="C103" s="11" t="inlineStr">
        <is>
          <t>BU4</t>
        </is>
      </c>
      <c r="D103" s="10" t="inlineStr">
        <is>
          <t>[BU4] LEAD-MSG | H2-2026 - Chạy từ 16 July 2026 - Tư vấn Facebook Ads</t>
        </is>
      </c>
      <c r="E103" s="10" t="inlineStr">
        <is>
          <t>[BU4] Bhutan | LEAD-MSG | COLD | 600K | HN + SG | Bài tổng | Cuối năm</t>
        </is>
      </c>
      <c r="F103" s="10" t="inlineStr">
        <is>
          <t>[BU4] | Bhutan | CLIP | Cuối năm - Bài tổng v2</t>
        </is>
      </c>
      <c r="G103" s="24" t="n">
        <v>1423481</v>
      </c>
      <c r="H103" s="23" t="n">
        <v>40</v>
      </c>
      <c r="I103" s="24" t="n">
        <v>35587.025</v>
      </c>
      <c r="J103" s="23" t="n">
        <v>5</v>
      </c>
      <c r="K103" s="24" t="n">
        <v>284696.2</v>
      </c>
    </row>
    <row r="104">
      <c r="A104" s="8" t="inlineStr">
        <is>
          <t>Tháng 7</t>
        </is>
      </c>
      <c r="B104" s="8" t="inlineStr">
        <is>
          <t>Tuần 3</t>
        </is>
      </c>
      <c r="C104" s="8" t="inlineStr">
        <is>
          <t>BU4</t>
        </is>
      </c>
      <c r="D104" s="7" t="inlineStr">
        <is>
          <t>[BU4] LEAD-MSG | H2-2026</t>
        </is>
      </c>
      <c r="E104" s="7" t="inlineStr">
        <is>
          <t>[BU4] Bhutan | LEAD-MSG | COLD | 400K | HN + SG | Bài tổng | Cuối năm</t>
        </is>
      </c>
      <c r="F104" s="7" t="inlineStr">
        <is>
          <t>[BU4] | Bhutan | CLIP | Cuối năm - Bài tổng v2</t>
        </is>
      </c>
      <c r="G104" s="14" t="n">
        <v>1355935</v>
      </c>
      <c r="H104" s="13" t="n">
        <v>52</v>
      </c>
      <c r="I104" s="14" t="n">
        <v>26075.67307692308</v>
      </c>
      <c r="J104" s="13" t="n">
        <v>8</v>
      </c>
      <c r="K104" s="14" t="n">
        <v>169491.875</v>
      </c>
    </row>
    <row r="105">
      <c r="A105" s="11" t="inlineStr">
        <is>
          <t>Tháng 7</t>
        </is>
      </c>
      <c r="B105" s="11" t="inlineStr">
        <is>
          <t>Tuần 3</t>
        </is>
      </c>
      <c r="C105" s="11" t="inlineStr">
        <is>
          <t>BU4</t>
        </is>
      </c>
      <c r="D105" s="10" t="inlineStr">
        <is>
          <t>[BU4] LEAD-MSG | H2-2026 - Chạy từ 16 July 2026 - Tư vấn Facebook Ads</t>
        </is>
      </c>
      <c r="E105" s="10" t="inlineStr">
        <is>
          <t>[BU4] Ladakh | LEAD-MSG | TPHCM+30km, 23+ | 700K | Hình + Video | Từ 16 tháng 7 năm 2026</t>
        </is>
      </c>
      <c r="F105" s="10" t="inlineStr">
        <is>
          <t>[BU4] | Ladakh | VID | Video giới thiệu Ladakh KOP Dinh 10 July 2026</t>
        </is>
      </c>
      <c r="G105" s="24" t="n">
        <v>1164984</v>
      </c>
      <c r="H105" s="23" t="n">
        <v>12</v>
      </c>
      <c r="I105" s="24" t="n">
        <v>97082</v>
      </c>
      <c r="J105" s="23" t="n">
        <v>5</v>
      </c>
      <c r="K105" s="24" t="n">
        <v>232996.8</v>
      </c>
    </row>
    <row r="106">
      <c r="A106" s="8" t="inlineStr">
        <is>
          <t>Tháng 7</t>
        </is>
      </c>
      <c r="B106" s="8" t="inlineStr">
        <is>
          <t>Tuần 3</t>
        </is>
      </c>
      <c r="C106" s="8" t="inlineStr">
        <is>
          <t>BU4</t>
        </is>
      </c>
      <c r="D106" s="7" t="inlineStr">
        <is>
          <t>[BU4] LEAD-MSG | H2-2026 - Chạy từ 16 July 2026 - Tư vấn Facebook Ads</t>
        </is>
      </c>
      <c r="E106" s="7" t="inlineStr">
        <is>
          <t>[BU4] Ladakh | LEAD-MSG | TPHCM+30km, 23+ | 700K | Hình + Video | Từ 16 tháng 7 năm 2026</t>
        </is>
      </c>
      <c r="F106" s="7" t="inlineStr">
        <is>
          <t>[BU4] | Ladakh | IMG | Cuối năm - Bài tổng</t>
        </is>
      </c>
      <c r="G106" s="14" t="n">
        <v>985843</v>
      </c>
      <c r="H106" s="13" t="n">
        <v>10</v>
      </c>
      <c r="I106" s="14" t="n">
        <v>98584.3</v>
      </c>
      <c r="J106" s="13" t="n">
        <v>1</v>
      </c>
      <c r="K106" s="14" t="n">
        <v>985843</v>
      </c>
    </row>
    <row r="107">
      <c r="A107" s="11" t="inlineStr">
        <is>
          <t>Tháng 7</t>
        </is>
      </c>
      <c r="B107" s="11" t="inlineStr">
        <is>
          <t>Tuần 3</t>
        </is>
      </c>
      <c r="C107" s="11" t="inlineStr">
        <is>
          <t>BU4</t>
        </is>
      </c>
      <c r="D107" s="10" t="inlineStr">
        <is>
          <t>[BU4] LEAD-MSG | H2-2026</t>
        </is>
      </c>
      <c r="E107" s="10" t="inlineStr">
        <is>
          <t>[BU4] Ladakh | LEAD-MSG | TPHCM+17km, 23+ | 600K | Hình + Video | Cuối năm</t>
        </is>
      </c>
      <c r="F107" s="10" t="inlineStr">
        <is>
          <t>[BU4] | Ladakh | IMG | Cuối năm - Bài tổng</t>
        </is>
      </c>
      <c r="G107" s="24" t="n">
        <v>707791</v>
      </c>
      <c r="H107" s="23" t="n">
        <v>1</v>
      </c>
      <c r="I107" s="24" t="n">
        <v>707791</v>
      </c>
      <c r="J107" s="23" t="n">
        <v>0</v>
      </c>
      <c r="K107" s="24" t="n">
        <v>0</v>
      </c>
    </row>
    <row r="108">
      <c r="A108" s="8" t="inlineStr">
        <is>
          <t>Tháng 7</t>
        </is>
      </c>
      <c r="B108" s="8" t="inlineStr">
        <is>
          <t>Tuần 3</t>
        </is>
      </c>
      <c r="C108" s="8" t="inlineStr">
        <is>
          <t>BU4</t>
        </is>
      </c>
      <c r="D108" s="7" t="inlineStr">
        <is>
          <t>[BU4] LEAD-MSG | H2-2026 - Chạy từ 16 July 2026 - Tư vấn Facebook Ads</t>
        </is>
      </c>
      <c r="E108" s="7" t="inlineStr">
        <is>
          <t>[BU4] Bhutan | LEAD-MSG | COLD | 600K | HN + SG | Bài tổng | Cuối năm</t>
        </is>
      </c>
      <c r="F108" s="7" t="inlineStr">
        <is>
          <t>[BU4] | Bhutan | IMG | Cuối năm - Bài tổng</t>
        </is>
      </c>
      <c r="G108" s="14" t="n">
        <v>450182</v>
      </c>
      <c r="H108" s="13" t="n">
        <v>10</v>
      </c>
      <c r="I108" s="14" t="n">
        <v>45018.2</v>
      </c>
      <c r="J108" s="13" t="n">
        <v>0</v>
      </c>
      <c r="K108" s="14" t="n">
        <v>0</v>
      </c>
    </row>
    <row r="109">
      <c r="A109" s="11" t="inlineStr">
        <is>
          <t>Tháng 7</t>
        </is>
      </c>
      <c r="B109" s="11" t="inlineStr">
        <is>
          <t>Tuần 3</t>
        </is>
      </c>
      <c r="C109" s="11" t="inlineStr">
        <is>
          <t>BU4</t>
        </is>
      </c>
      <c r="D109" s="10" t="inlineStr">
        <is>
          <t>[BU4] LEAD-MSG | H2-2026</t>
        </is>
      </c>
      <c r="E109" s="10" t="inlineStr">
        <is>
          <t>[BU4] Bhutan | LEAD-MSG | COLD | 400K | HN + SG | Bài tổng | Cuối năm</t>
        </is>
      </c>
      <c r="F109" s="10" t="inlineStr">
        <is>
          <t>[BU4] | Bhutan | IMG | Cuối năm - Bài tổng</t>
        </is>
      </c>
      <c r="G109" s="24" t="n">
        <v>116222</v>
      </c>
      <c r="H109" s="23" t="n">
        <v>3</v>
      </c>
      <c r="I109" s="24" t="n">
        <v>38740.66666666666</v>
      </c>
      <c r="J109" s="23" t="n">
        <v>2</v>
      </c>
      <c r="K109" s="24" t="n">
        <v>58111</v>
      </c>
    </row>
    <row r="110">
      <c r="A110" s="8" t="inlineStr">
        <is>
          <t>Tháng 7</t>
        </is>
      </c>
      <c r="B110" s="8" t="inlineStr">
        <is>
          <t>Tuần 3</t>
        </is>
      </c>
      <c r="C110" s="8" t="inlineStr">
        <is>
          <t>BU4</t>
        </is>
      </c>
      <c r="D110" s="7" t="inlineStr">
        <is>
          <t>[BU4] LEAD-MSG | H2-2026</t>
        </is>
      </c>
      <c r="E110" s="7" t="inlineStr">
        <is>
          <t>[BU4] Ladakh | LEAD-MSG | COLD | 200K | Hình | Cảm ơn khách</t>
        </is>
      </c>
      <c r="F110" s="7" t="inlineStr">
        <is>
          <t>[BU4] | Ladakh | IMG | Cảm ơn khách</t>
        </is>
      </c>
      <c r="G110" s="14" t="n">
        <v>0</v>
      </c>
      <c r="H110" s="13" t="n">
        <v>1</v>
      </c>
      <c r="I110" s="14" t="n">
        <v>0</v>
      </c>
      <c r="J110" s="13" t="n">
        <v>0</v>
      </c>
      <c r="K110" s="14" t="n">
        <v>0</v>
      </c>
    </row>
    <row r="111">
      <c r="A111" s="11" t="inlineStr">
        <is>
          <t>Tháng 7</t>
        </is>
      </c>
      <c r="B111" s="11" t="inlineStr">
        <is>
          <t>Tuần 4</t>
        </is>
      </c>
      <c r="C111" s="11" t="inlineStr">
        <is>
          <t>BU4</t>
        </is>
      </c>
      <c r="D111" s="10" t="inlineStr">
        <is>
          <t>[BU4] LEAD-MSG | H2-2026 - Chạy từ 16 July 2026 - Tư vấn Facebook Ads</t>
        </is>
      </c>
      <c r="E111" s="10" t="inlineStr">
        <is>
          <t>[BU4] Bhutan | LEAD-MSG | COLD | 600K | HN + SG | Bài tổng | Cuối năm</t>
        </is>
      </c>
      <c r="F111" s="10" t="inlineStr">
        <is>
          <t>[BU4] | Bhutan | CLIP | Cuối năm - Bài tổng v2</t>
        </is>
      </c>
      <c r="G111" s="24" t="n">
        <v>4054583</v>
      </c>
      <c r="H111" s="23" t="n">
        <v>104</v>
      </c>
      <c r="I111" s="24" t="n">
        <v>38986.375</v>
      </c>
      <c r="J111" s="23" t="n">
        <v>22</v>
      </c>
      <c r="K111" s="24" t="n">
        <v>184299.2272727273</v>
      </c>
    </row>
    <row r="112">
      <c r="A112" s="8" t="inlineStr">
        <is>
          <t>Tháng 7</t>
        </is>
      </c>
      <c r="B112" s="8" t="inlineStr">
        <is>
          <t>Tuần 4</t>
        </is>
      </c>
      <c r="C112" s="8" t="inlineStr">
        <is>
          <t>BU4</t>
        </is>
      </c>
      <c r="D112" s="7" t="inlineStr">
        <is>
          <t>[BU4] LEAD-MSG | H2-2026 - Chạy từ 16 July 2026 - Tư vấn Facebook Ads</t>
        </is>
      </c>
      <c r="E112" s="7" t="inlineStr">
        <is>
          <t>[BU4] Ladakh | LEAD-MSG | TPHCM+30km, 23+ | 700K | Hình + Video | Từ 16 tháng 7 năm 2026</t>
        </is>
      </c>
      <c r="F112" s="7" t="inlineStr">
        <is>
          <t>[BU4] | Ladakh | IMG | Cuối năm - Bài tổng</t>
        </is>
      </c>
      <c r="G112" s="14" t="n">
        <v>3195616</v>
      </c>
      <c r="H112" s="13" t="n">
        <v>38</v>
      </c>
      <c r="I112" s="14" t="n">
        <v>84095.15789473684</v>
      </c>
      <c r="J112" s="13" t="n">
        <v>23</v>
      </c>
      <c r="K112" s="14" t="n">
        <v>138939.8260869565</v>
      </c>
    </row>
    <row r="113">
      <c r="A113" s="11" t="inlineStr">
        <is>
          <t>Tháng 7</t>
        </is>
      </c>
      <c r="B113" s="11" t="inlineStr">
        <is>
          <t>Tuần 4</t>
        </is>
      </c>
      <c r="C113" s="11" t="inlineStr">
        <is>
          <t>BU4</t>
        </is>
      </c>
      <c r="D113" s="10" t="inlineStr">
        <is>
          <t>[BU4] LEAD-MSG | H2-2026 - Chạy từ 16 July 2026 - Tư vấn Facebook Ads</t>
        </is>
      </c>
      <c r="E113" s="10" t="inlineStr">
        <is>
          <t>[BU4] Ladakh | LEAD-MSG | TPHCM+30km, 23+ | 700K | Hình + Video | Từ 16 tháng 7 năm 2026</t>
        </is>
      </c>
      <c r="F113" s="10" t="inlineStr">
        <is>
          <t>[BU4] | Ladakh | VID | Video giới thiệu Ladakh KOP Dinh 10 July 2026</t>
        </is>
      </c>
      <c r="G113" s="24" t="n">
        <v>1787971</v>
      </c>
      <c r="H113" s="23" t="n">
        <v>24</v>
      </c>
      <c r="I113" s="24" t="n">
        <v>74498.79166666667</v>
      </c>
      <c r="J113" s="23" t="n">
        <v>14</v>
      </c>
      <c r="K113" s="24" t="n">
        <v>127712.2142857143</v>
      </c>
    </row>
    <row r="114">
      <c r="A114" s="8" t="inlineStr">
        <is>
          <t>Tháng 7</t>
        </is>
      </c>
      <c r="B114" s="8" t="inlineStr">
        <is>
          <t>Tuần 4</t>
        </is>
      </c>
      <c r="C114" s="8" t="inlineStr">
        <is>
          <t>BU4</t>
        </is>
      </c>
      <c r="D114" s="7" t="inlineStr">
        <is>
          <t>[BU4] LEAD-MSG | H2-2026 - Chạy từ 16 July 2026 - Tư vấn Facebook Ads</t>
        </is>
      </c>
      <c r="E114" s="7" t="inlineStr">
        <is>
          <t>[BU4] Bhutan | LEAD-MSG | COLD | 600K | HN + SG | Bài tổng | Cuối năm</t>
        </is>
      </c>
      <c r="F114" s="7" t="inlineStr">
        <is>
          <t>[BU4] | Bhutan | IMG | Cuối năm - Bài tổng</t>
        </is>
      </c>
      <c r="G114" s="14" t="n">
        <v>267386</v>
      </c>
      <c r="H114" s="13" t="n">
        <v>5</v>
      </c>
      <c r="I114" s="14" t="n">
        <v>53477.2</v>
      </c>
      <c r="J114" s="13" t="n">
        <v>1</v>
      </c>
      <c r="K114" s="14" t="n">
        <v>267386</v>
      </c>
    </row>
    <row r="115">
      <c r="A115" s="11" t="inlineStr">
        <is>
          <t>Tháng 7</t>
        </is>
      </c>
      <c r="B115" s="11" t="inlineStr">
        <is>
          <t>Tuần 5</t>
        </is>
      </c>
      <c r="C115" s="11" t="inlineStr">
        <is>
          <t>BU4</t>
        </is>
      </c>
      <c r="D115" s="10" t="inlineStr">
        <is>
          <t>[BU4] LEAD-MSG | H2-2026 - Chạy từ 16 July 2026 - Tư vấn Facebook Ads</t>
        </is>
      </c>
      <c r="E115" s="10" t="inlineStr">
        <is>
          <t>[BU4] Bhutan | LEAD-MSG | COLD | 600K | HN + SG | Bài tổng | Cuối năm</t>
        </is>
      </c>
      <c r="F115" s="10" t="inlineStr">
        <is>
          <t>[BU4] | Bhutan | CLIP | Cuối năm - Bài tổng v2</t>
        </is>
      </c>
      <c r="G115" s="24" t="n">
        <v>3025909</v>
      </c>
      <c r="H115" s="23" t="n">
        <v>91</v>
      </c>
      <c r="I115" s="24" t="n">
        <v>33251.74725274725</v>
      </c>
      <c r="J115" s="23" t="n">
        <v>13</v>
      </c>
      <c r="K115" s="24" t="n">
        <v>232762.2307692308</v>
      </c>
    </row>
    <row r="116">
      <c r="A116" s="8" t="inlineStr">
        <is>
          <t>Tháng 7</t>
        </is>
      </c>
      <c r="B116" s="8" t="inlineStr">
        <is>
          <t>Tuần 5</t>
        </is>
      </c>
      <c r="C116" s="8" t="inlineStr">
        <is>
          <t>BU4</t>
        </is>
      </c>
      <c r="D116" s="7" t="inlineStr">
        <is>
          <t>[BU4] LEAD-MSG | H2-2026 - Chạy từ 16 July 2026 - Tư vấn Facebook Ads</t>
        </is>
      </c>
      <c r="E116" s="7" t="inlineStr">
        <is>
          <t>[BU4] Ladakh | LEAD-MSG | TPHCM+30km, 23+ | 700K | Hình + Video | Từ 16 tháng 7 năm 2026</t>
        </is>
      </c>
      <c r="F116" s="7" t="inlineStr">
        <is>
          <t>[BU4] | Ladakh | IMG | Cuối năm - Bài tổng</t>
        </is>
      </c>
      <c r="G116" s="14" t="n">
        <v>2771281</v>
      </c>
      <c r="H116" s="13" t="n">
        <v>48</v>
      </c>
      <c r="I116" s="14" t="n">
        <v>57735.02083333334</v>
      </c>
      <c r="J116" s="13" t="n">
        <v>17</v>
      </c>
      <c r="K116" s="14" t="n">
        <v>163016.5294117647</v>
      </c>
    </row>
    <row r="117">
      <c r="A117" s="11" t="inlineStr">
        <is>
          <t>Tháng 7</t>
        </is>
      </c>
      <c r="B117" s="11" t="inlineStr">
        <is>
          <t>Tuần 5</t>
        </is>
      </c>
      <c r="C117" s="11" t="inlineStr">
        <is>
          <t>BU4</t>
        </is>
      </c>
      <c r="D117" s="10" t="inlineStr">
        <is>
          <t>[BU4] LEAD-MSG | H2-2026 - Chạy từ 16 July 2026 - Tư vấn Facebook Ads</t>
        </is>
      </c>
      <c r="E117" s="10" t="inlineStr">
        <is>
          <t>[BU4] Ladakh | LEAD-MSG | TPHCM+30km, 23+ | 700K | Hình + Video | Từ 16 tháng 7 năm 2026</t>
        </is>
      </c>
      <c r="F117" s="10" t="inlineStr">
        <is>
          <t>[BU4] | Ladakh | VID | Video giới thiệu Ladakh KOP Dinh 10 July 2026</t>
        </is>
      </c>
      <c r="G117" s="24" t="n">
        <v>594589</v>
      </c>
      <c r="H117" s="23" t="n">
        <v>7</v>
      </c>
      <c r="I117" s="24" t="n">
        <v>84941.28571428571</v>
      </c>
      <c r="J117" s="23" t="n">
        <v>7</v>
      </c>
      <c r="K117" s="24" t="n">
        <v>84941.28571428571</v>
      </c>
    </row>
    <row r="118">
      <c r="A118" s="8" t="inlineStr">
        <is>
          <t>Tháng 7</t>
        </is>
      </c>
      <c r="B118" s="8" t="inlineStr">
        <is>
          <t>Tuần 5</t>
        </is>
      </c>
      <c r="C118" s="8" t="inlineStr">
        <is>
          <t>BU4</t>
        </is>
      </c>
      <c r="D118" s="7" t="inlineStr">
        <is>
          <t>[BU4] LEAD-MSG | H2-2026 - Chạy từ 16 July 2026 - Tư vấn Facebook Ads</t>
        </is>
      </c>
      <c r="E118" s="7" t="inlineStr">
        <is>
          <t>[BU4] Bhutan | LEAD-MSG | COLD | 600K | HN + SG | Bài tổng | Cuối năm</t>
        </is>
      </c>
      <c r="F118" s="7" t="inlineStr">
        <is>
          <t>[BU4] | Bhutan | IMG | Cuối năm - Bài tổng</t>
        </is>
      </c>
      <c r="G118" s="14" t="n">
        <v>28123</v>
      </c>
      <c r="H118" s="13" t="n">
        <v>0</v>
      </c>
      <c r="I118" s="14" t="n">
        <v>0</v>
      </c>
      <c r="J118" s="13" t="n">
        <v>0</v>
      </c>
      <c r="K118" s="14" t="n">
        <v>0</v>
      </c>
    </row>
    <row r="119">
      <c r="A119" s="16" t="inlineStr">
        <is>
          <t>TỔNG</t>
        </is>
      </c>
      <c r="B119" s="18" t="n"/>
      <c r="C119" s="18" t="n"/>
      <c r="D119" s="17" t="inlineStr">
        <is>
          <t>TỔNG CỘNG 114 DÒNG DỮ LIỆU GỐC</t>
        </is>
      </c>
      <c r="E119" s="18" t="n"/>
      <c r="F119" s="18" t="n"/>
      <c r="G119" s="19">
        <f>SUM(G5:G118)</f>
        <v/>
      </c>
      <c r="H119" s="20">
        <f>SUM(H5:H118)</f>
        <v/>
      </c>
      <c r="I119" s="19">
        <f>ROUND(G119/H119, 0)</f>
        <v/>
      </c>
      <c r="J119" s="20">
        <f>SUM(J5:J118)</f>
        <v/>
      </c>
      <c r="K119" s="19">
        <f>ROUND(G119/J119, 0)</f>
        <v/>
      </c>
    </row>
  </sheetData>
  <mergeCells count="1"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2026-09-10T05:48:33Z</dcterms:created>
  <dcterms:modified xmlns:dcterms="http://purl.org/dc/terms/" xmlns:xsi="http://www.w3.org/2001/XMLSchema-instance" xsi:type="dcterms:W3CDTF">2026-09-10T05:48:33Z</dcterms:modified>
</cp:coreProperties>
</file>