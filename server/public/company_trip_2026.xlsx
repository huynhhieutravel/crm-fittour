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angatang" sheetId="1" r:id="rId4"/>
    <sheet state="visible" name="DS LAO DONG" sheetId="2" r:id="rId5"/>
  </sheets>
  <externalReferences>
    <externalReference r:id="rId6"/>
    <externalReference r:id="rId7"/>
  </externalReferences>
  <definedNames>
    <definedName name="DM_CoKhong">'[2]DANH MUC'!$D$5:$D$6</definedName>
    <definedName name="DM_GioiTinh">'[2]DANH MUC'!$A$5:$A$6</definedName>
    <definedName name="DM_LoaiHDLD">OFFSET('[2]DANH MUC'!$C$5,0,0,COUNTA('[2]DANH MUC'!$C$5:$C$34),1)</definedName>
    <definedName name="DM_QuocTich">OFFSET('[2]DANH MUC'!$B$5,0,0,COUNTA('[2]DANH MUC'!$B$5:$B$34),1)</definedName>
    <definedName name="DM_TrangThai">'[2]DANH MUC'!$E$5:$E$6</definedName>
    <definedName name="Loai_ngay_sinh">[1]DM_TongHop!$H$3:$H$5</definedName>
    <definedName name="Loaigiayto">[1]DM_TongHop!$J$3:$J$7</definedName>
    <definedName name="loc_trung_xa">[1]DM_Xa!$D$4:$D$3324</definedName>
    <definedName name="ma_dantoc">[1]DM_TongHop!$B$3:$B$60</definedName>
    <definedName name="Ma_KCB">[1]DM_KCB!$A$4:$A$11130</definedName>
    <definedName name="Ma_ngan_hang">[1]DM_NganHang!$B$2:$B$6076</definedName>
    <definedName name="ma_quoctich">[1]DM_QuocTich!$B$3:$B$243</definedName>
    <definedName name="ma_tinh">'[1]DM Tinh'!$A$4:$A$37</definedName>
    <definedName name="ma_xa">[1]DM_Xa!$B$4:$B$3324</definedName>
    <definedName name="Moi_quan_he_chu_ho">[1]DM_TongHop!$L$3:$L$25</definedName>
    <definedName name="phuong_an">[1]DM_TongHop!$F$3:$F$6</definedName>
    <definedName name="ten_Dantoc">[1]DM_TongHop!$A$3:$A$60</definedName>
    <definedName name="Ten_KCB">[1]DM_KCB!$B$4:$B$11130</definedName>
    <definedName name="Ten_ngan_hang">[1]DM_NganHang!$C$2:$C$6076</definedName>
    <definedName name="ten_Quoctich">[1]DM_QuocTich!$A$3:$A$243</definedName>
    <definedName name="ten_tinh">'[1]DM Tinh'!$B$4:$B$37</definedName>
    <definedName name="ten_xa">[1]DM_Xa!$C$4:$C$3324</definedName>
    <definedName name="TinhTrangThamGia">[1]DM_TongHop!$D$3:$D$7</definedName>
    <definedName name="Vung_luong_toi_thieu">[1]DM_TongHop!$P$3:$P$6</definedName>
    <definedName name="vungsinhsong">[1]DM_TongHop!$N$4:$N$7</definedName>
    <definedName name="ma_huyen">#REF!</definedName>
    <definedName name="loc_trung_huyen">#REF!</definedName>
    <definedName name="ten_huyen">#REF!</definedName>
    <definedName hidden="1" localSheetId="1" name="_xlnm._FilterDatabase">'DS LAO DONG'!$A$7:$K$39</definedName>
  </definedNames>
  <calcPr/>
  <extLst>
    <ext uri="GoogleSheetsCustomDataVersion2">
      <go:sheetsCustomData xmlns:go="http://customooxmlschemas.google.com/" r:id="rId8" roundtripDataChecksum="Lh1XYMsT+8c6A7vkKlKjawZof8fCmRwiQj/eXBo5RX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Cột đặt dạng CHỮ để không mất số 0 ở đầu. Cứ gõ số bình thường.
======</t>
      </text>
    </comment>
  </commentList>
</comments>
</file>

<file path=xl/sharedStrings.xml><?xml version="1.0" encoding="utf-8"?>
<sst xmlns="http://schemas.openxmlformats.org/spreadsheetml/2006/main" count="249" uniqueCount="157">
  <si>
    <t>SỔ QUẢN LÝ DANH SÁCH COMPANY TRIP ĐÀ LẠT 11-14/11/2026</t>
  </si>
  <si>
    <t>Tên đơn vị: CÔNG TY TNHH DU LỊCH QUỐC TẾ FIT TOUR</t>
  </si>
  <si>
    <t>Số lao động đang làm việc:</t>
  </si>
  <si>
    <t>Mã số thuế: 0316127669</t>
  </si>
  <si>
    <t>Trong đó: lao động nữ:</t>
  </si>
  <si>
    <t>Địa chỉ: 19 Lương Hữu Khánh, Phường Bến Thành, TP Hồ Chí Minh, Việt Nam</t>
  </si>
  <si>
    <t>STT</t>
  </si>
  <si>
    <t>Họ và tên</t>
  </si>
  <si>
    <t>Giới tính</t>
  </si>
  <si>
    <t>Ngày, tháng, năm sinh</t>
  </si>
  <si>
    <t>Số thẻ CCCD</t>
  </si>
  <si>
    <t>Số điện thoại
liên hệ</t>
  </si>
  <si>
    <t>Nghề nghiệp</t>
  </si>
  <si>
    <t>Phòng Ban BU</t>
  </si>
  <si>
    <t>Trạng thái</t>
  </si>
  <si>
    <t>Xác nhận 
(Đồng ý/ Không)</t>
  </si>
  <si>
    <t>Ghi chú riêng</t>
  </si>
  <si>
    <t>Nguyễn Nhất Vũ</t>
  </si>
  <si>
    <t>Nam</t>
  </si>
  <si>
    <t>051090007531</t>
  </si>
  <si>
    <t>0934888854</t>
  </si>
  <si>
    <t>Giám Đốc</t>
  </si>
  <si>
    <t>Đang làm việc</t>
  </si>
  <si>
    <t>Trần Quốc Thịnh</t>
  </si>
  <si>
    <t>10/04/1993</t>
  </si>
  <si>
    <t>082093000097</t>
  </si>
  <si>
    <t>0902159652</t>
  </si>
  <si>
    <t>Trưởng phòng kinh doanh</t>
  </si>
  <si>
    <t>Đồng ý</t>
  </si>
  <si>
    <t>Nguyễn Quỳnh Phương</t>
  </si>
  <si>
    <t>Nữ</t>
  </si>
  <si>
    <t>30/08/2000</t>
  </si>
  <si>
    <t>068300009112</t>
  </si>
  <si>
    <t>0968815369</t>
  </si>
  <si>
    <t>NVKD</t>
  </si>
  <si>
    <t xml:space="preserve">Không về Sài Gòn cùng công ty </t>
  </si>
  <si>
    <t>Đoàn Thúy An</t>
  </si>
  <si>
    <t>24/03/1998</t>
  </si>
  <si>
    <t>072198002084</t>
  </si>
  <si>
    <t>0911794056</t>
  </si>
  <si>
    <t>Lâm Mỹ Duyên</t>
  </si>
  <si>
    <t>11/01/2000</t>
  </si>
  <si>
    <t>079300014758</t>
  </si>
  <si>
    <t>0932663820</t>
  </si>
  <si>
    <t>Nguyễn Hưng Thịnh</t>
  </si>
  <si>
    <t>18/03/2000</t>
  </si>
  <si>
    <t>094200009872</t>
  </si>
  <si>
    <t>0969959252</t>
  </si>
  <si>
    <t>Lê Minh Tuấn</t>
  </si>
  <si>
    <t>16/11/1985</t>
  </si>
  <si>
    <t>080085014200</t>
  </si>
  <si>
    <t>0979089670</t>
  </si>
  <si>
    <t>Bùi Ngọc Hiếu</t>
  </si>
  <si>
    <t>13/09/1996</t>
  </si>
  <si>
    <t>089096002805</t>
  </si>
  <si>
    <t>0909130996</t>
  </si>
  <si>
    <t>Phó phòng kinh doanh</t>
  </si>
  <si>
    <t>Phan Hoàng Trúc Vy</t>
  </si>
  <si>
    <t>04/10/1992</t>
  </si>
  <si>
    <t>079192037146</t>
  </si>
  <si>
    <t>0932076186</t>
  </si>
  <si>
    <t>Phó Giám Đốc</t>
  </si>
  <si>
    <t>Nguyễn Huỳnh Hồng Trang</t>
  </si>
  <si>
    <t>15/07/1996</t>
  </si>
  <si>
    <t>080196004441</t>
  </si>
  <si>
    <t>0368608534</t>
  </si>
  <si>
    <t>Hầu Quang Hưng</t>
  </si>
  <si>
    <t>10/04/1995</t>
  </si>
  <si>
    <t>079095007170</t>
  </si>
  <si>
    <t>0941880506</t>
  </si>
  <si>
    <t>Lê Thị Trang</t>
  </si>
  <si>
    <t>01/02/2003</t>
  </si>
  <si>
    <t>046301001635</t>
  </si>
  <si>
    <t>0901745144</t>
  </si>
  <si>
    <t>Lê Văn Tâm</t>
  </si>
  <si>
    <t>01/03/2002</t>
  </si>
  <si>
    <t>080202006714</t>
  </si>
  <si>
    <t>0703859208</t>
  </si>
  <si>
    <t>Nhân Viên KD</t>
  </si>
  <si>
    <t>Võ Thị Hồng Trang</t>
  </si>
  <si>
    <t>13/11/1997</t>
  </si>
  <si>
    <t>075197000284</t>
  </si>
  <si>
    <t>0355051277</t>
  </si>
  <si>
    <t>Ngô Ngọc Đăng Huy</t>
  </si>
  <si>
    <t>21/11/1997</t>
  </si>
  <si>
    <t>079097019263</t>
  </si>
  <si>
    <t>0869105700</t>
  </si>
  <si>
    <t>Lê Thanh Hà</t>
  </si>
  <si>
    <t>14/08/2001</t>
  </si>
  <si>
    <t>064201012630</t>
  </si>
  <si>
    <t>0389148981</t>
  </si>
  <si>
    <t>Dương Quỳnh Như</t>
  </si>
  <si>
    <t>02/02/2000</t>
  </si>
  <si>
    <t>075300009339</t>
  </si>
  <si>
    <t>0357545021</t>
  </si>
  <si>
    <t>Nguyễn Thị Hằng</t>
  </si>
  <si>
    <t>08/04/2002</t>
  </si>
  <si>
    <t>049302005920</t>
  </si>
  <si>
    <t>0868235631</t>
  </si>
  <si>
    <t>Trần Đức Mẫn</t>
  </si>
  <si>
    <t>21/10/1979</t>
  </si>
  <si>
    <t>080079002617</t>
  </si>
  <si>
    <t>0918970406</t>
  </si>
  <si>
    <t>Nhân viên điều hành</t>
  </si>
  <si>
    <t>Nguyễn Hồ Đông Hải</t>
  </si>
  <si>
    <t>03/10/1996</t>
  </si>
  <si>
    <t>072196005163</t>
  </si>
  <si>
    <t>0357119708</t>
  </si>
  <si>
    <t>Trần Minh Dũng</t>
  </si>
  <si>
    <t>29/11/2000</t>
  </si>
  <si>
    <t>079200000201</t>
  </si>
  <si>
    <t>0936384875</t>
  </si>
  <si>
    <t>Phạm Nguyễn Phương Thụy</t>
  </si>
  <si>
    <t>18/11/1988</t>
  </si>
  <si>
    <t>079188019100</t>
  </si>
  <si>
    <t>0932744060</t>
  </si>
  <si>
    <t>Nguyễn Thị Thu Xuân</t>
  </si>
  <si>
    <t>03/06/1993</t>
  </si>
  <si>
    <t>052193015460</t>
  </si>
  <si>
    <t>0355933951</t>
  </si>
  <si>
    <t>Kế toán</t>
  </si>
  <si>
    <t>Đoàn Bảo Ngọc</t>
  </si>
  <si>
    <t>25/09/1995</t>
  </si>
  <si>
    <t>082195007601</t>
  </si>
  <si>
    <t>0917885155</t>
  </si>
  <si>
    <t>Trần Hiếu Thảo</t>
  </si>
  <si>
    <t>10/05/2003</t>
  </si>
  <si>
    <t>080303009888</t>
  </si>
  <si>
    <t>0842129099</t>
  </si>
  <si>
    <t>Hồ Hải Long</t>
  </si>
  <si>
    <t>30/11/1997</t>
  </si>
  <si>
    <t>079097016062</t>
  </si>
  <si>
    <t>0916115430</t>
  </si>
  <si>
    <t>NV Marketing</t>
  </si>
  <si>
    <t>Marketing</t>
  </si>
  <si>
    <t>Huỳnh Trọng Hiếu</t>
  </si>
  <si>
    <t>19/11/1992</t>
  </si>
  <si>
    <t>093092000660</t>
  </si>
  <si>
    <t>0799664444</t>
  </si>
  <si>
    <t>Không di chuyển đi và về cùng xe công ty. Sẽ tự di chuyển lên Đà Lạt trước ở Cần Thơ *vì nhà xa</t>
  </si>
  <si>
    <t>Châu Quốc Kiệt</t>
  </si>
  <si>
    <t>08/01/2004</t>
  </si>
  <si>
    <t>087204013799</t>
  </si>
  <si>
    <t>0939176215</t>
  </si>
  <si>
    <t>Phan Trọng Trí</t>
  </si>
  <si>
    <t>22/10/1993</t>
  </si>
  <si>
    <t>068093005436</t>
  </si>
  <si>
    <t>0336723372</t>
  </si>
  <si>
    <t>Nhân Viên visa</t>
  </si>
  <si>
    <t>Visa</t>
  </si>
  <si>
    <t>Trương Huy Hoàng</t>
  </si>
  <si>
    <t>0969624046</t>
  </si>
  <si>
    <t>Lê Đoàn Khánh Giao</t>
  </si>
  <si>
    <t>0358809090</t>
  </si>
  <si>
    <t>Trần Gia Tuệ</t>
  </si>
  <si>
    <t>079304010381</t>
  </si>
  <si>
    <t>0352384007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</si>
</sst>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0_);[Red]\(0.00\)"/>
    <numFmt numFmtId="166" formatCode="0_);[Red]\(0\)"/>
    <numFmt numFmtId="167" formatCode="d/m/yyyy"/>
  </numFmts>
  <fonts count="12">
    <font>
      <sz val="11.0"/>
      <color theme="1"/>
      <name val="Arial"/>
      <scheme val="minor"/>
    </font>
    <font>
      <sz val="11.0"/>
      <color theme="1"/>
      <name val="Calibri"/>
    </font>
    <font>
      <b/>
      <sz val="18.0"/>
      <color rgb="FF1F4E79"/>
      <name val="Times New Roman"/>
    </font>
    <font>
      <i/>
      <sz val="10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sz val="10.0"/>
      <color theme="1"/>
      <name val="Times New Roman"/>
    </font>
    <font>
      <b/>
      <sz val="12.0"/>
      <color rgb="FF1F4E79"/>
      <name val="Times New Roman"/>
    </font>
    <font>
      <i/>
      <sz val="9.0"/>
      <color rgb="FF7F7F7F"/>
      <name val="Times New Roman"/>
    </font>
    <font>
      <b/>
      <sz val="9.0"/>
      <color theme="1"/>
      <name val="Times New Roman"/>
    </font>
    <font>
      <i/>
      <color rgb="FF000000"/>
      <name val="Times New Roman"/>
    </font>
    <font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DF2F8"/>
        <bgColor rgb="FFEDF2F8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5">
    <border/>
    <border>
      <left/>
      <right/>
      <top/>
      <bottom style="thin">
        <color rgb="FF808080"/>
      </bottom>
    </border>
    <border>
      <left/>
      <right/>
      <top/>
      <bottom/>
    </border>
    <border>
      <left style="thin">
        <color rgb="FF808080"/>
      </left>
      <right style="thin">
        <color rgb="FF808080"/>
      </right>
      <top style="medium">
        <color rgb="FF404040"/>
      </top>
      <bottom style="medium">
        <color rgb="FF40404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Font="1"/>
    <xf borderId="1" fillId="2" fontId="5" numFmtId="0" xfId="0" applyAlignment="1" applyBorder="1" applyFill="1" applyFont="1">
      <alignment horizontal="left"/>
    </xf>
    <xf borderId="1" fillId="2" fontId="1" numFmtId="0" xfId="0" applyBorder="1" applyFill="1" applyFont="1"/>
    <xf borderId="2" fillId="3" fontId="6" numFmtId="0" xfId="0" applyAlignment="1" applyBorder="1" applyFill="1" applyFont="1">
      <alignment horizontal="left" vertical="center"/>
    </xf>
    <xf borderId="2" fillId="3" fontId="7" numFmtId="1" xfId="0" applyAlignment="1" applyBorder="1" applyFill="1" applyFont="1" applyNumberFormat="1">
      <alignment horizontal="center" vertical="center"/>
    </xf>
    <xf borderId="2" fillId="3" fontId="1" numFmtId="0" xfId="0" applyBorder="1" applyFill="1" applyFont="1"/>
    <xf borderId="0" fillId="0" fontId="8" numFmtId="0" xfId="0" applyFont="1"/>
    <xf borderId="3" fillId="4" fontId="9" numFmtId="0" xfId="0" applyAlignment="1" applyBorder="1" applyFill="1" applyFont="1">
      <alignment horizontal="center" shrinkToFit="0" vertical="center" wrapText="1"/>
    </xf>
    <xf borderId="3" fillId="5" fontId="9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10" numFmtId="164" xfId="0" applyAlignment="1" applyBorder="1" applyFont="1" applyNumberFormat="1">
      <alignment horizontal="center" readingOrder="0" shrinkToFit="0" wrapText="0"/>
    </xf>
    <xf quotePrefix="1" borderId="4" fillId="0" fontId="6" numFmtId="165" xfId="0" applyAlignment="1" applyBorder="1" applyFont="1" applyNumberFormat="1">
      <alignment horizontal="left" vertical="center"/>
    </xf>
    <xf quotePrefix="1" borderId="4" fillId="0" fontId="3" numFmtId="0" xfId="0" applyAlignment="1" applyBorder="1" applyFont="1">
      <alignment horizontal="left" readingOrder="0" shrinkToFit="0" vertical="center" wrapText="1"/>
    </xf>
    <xf borderId="4" fillId="0" fontId="6" numFmtId="166" xfId="0" applyAlignment="1" applyBorder="1" applyFont="1" applyNumberFormat="1">
      <alignment horizontal="center" vertical="center"/>
    </xf>
    <xf borderId="4" fillId="0" fontId="6" numFmtId="165" xfId="0" applyAlignment="1" applyBorder="1" applyFont="1" applyNumberFormat="1">
      <alignment horizontal="left" vertical="center"/>
    </xf>
    <xf borderId="4" fillId="0" fontId="3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quotePrefix="1" borderId="4" fillId="0" fontId="3" numFmtId="0" xfId="0" applyAlignment="1" applyBorder="1" applyFont="1">
      <alignment horizontal="left" shrinkToFit="0" vertical="center" wrapText="1"/>
    </xf>
    <xf borderId="4" fillId="0" fontId="6" numFmtId="166" xfId="0" applyAlignment="1" applyBorder="1" applyFont="1" applyNumberFormat="1">
      <alignment horizontal="left" vertical="center"/>
    </xf>
    <xf borderId="4" fillId="0" fontId="6" numFmtId="49" xfId="0" applyAlignment="1" applyBorder="1" applyFont="1" applyNumberFormat="1">
      <alignment horizontal="left" vertical="center"/>
    </xf>
    <xf quotePrefix="1" borderId="4" fillId="0" fontId="6" numFmtId="0" xfId="0" applyAlignment="1" applyBorder="1" applyFont="1">
      <alignment horizontal="left" readingOrder="0" shrinkToFit="0" vertical="center" wrapText="1"/>
    </xf>
    <xf borderId="4" fillId="0" fontId="11" numFmtId="167" xfId="0" applyAlignment="1" applyBorder="1" applyFont="1" applyNumberFormat="1">
      <alignment horizontal="center" readingOrder="0" shrinkToFit="0" wrapText="0"/>
    </xf>
    <xf quotePrefix="1" borderId="4" fillId="0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>
        <color rgb="FF7F7F7F"/>
      </font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TAB795A_BHXH_BAT_BUOC_Tempt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W1_SO%20QUAN%20LY%20LAO%20DONG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nh sach"/>
      <sheetName val="DM_NganHang"/>
      <sheetName val="DM_QuocTich"/>
      <sheetName val="DM_KCB"/>
      <sheetName val="DM Tinh"/>
      <sheetName val="DM_Xa"/>
      <sheetName val="DM_TongH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nh sach"/>
      <sheetName val="DS LAO DONG 2026"/>
      <sheetName val="DANH MUC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8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 fitToPage="1"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0"/>
  <cols>
    <col customWidth="1" min="1" max="1" width="3.88"/>
    <col customWidth="1" min="2" max="2" width="22.0"/>
    <col customWidth="1" min="3" max="3" width="7.5"/>
    <col customWidth="1" min="4" max="4" width="13.13"/>
    <col customWidth="1" min="5" max="5" width="11.75"/>
    <col customWidth="1" min="6" max="6" width="17.0"/>
    <col customWidth="1" min="7" max="7" width="20.0"/>
    <col customWidth="1" min="8" max="8" width="11.75"/>
    <col customWidth="1" min="9" max="10" width="13.13"/>
    <col customWidth="1" min="11" max="11" width="13.63"/>
    <col customWidth="1" min="12" max="12" width="7.88"/>
    <col customWidth="1" min="13" max="13" width="9.63"/>
    <col customWidth="1" min="14" max="15" width="6.5"/>
    <col customWidth="1" min="16" max="16" width="9.63"/>
    <col customWidth="1" min="17" max="17" width="10.5"/>
    <col customWidth="1" min="18" max="18" width="9.63"/>
    <col customWidth="1" min="19" max="19" width="8.75"/>
    <col customWidth="1" min="20" max="20" width="9.25"/>
    <col customWidth="1" min="21" max="21" width="11.38"/>
    <col customWidth="1" min="22" max="22" width="9.25"/>
    <col customWidth="1" min="23" max="24" width="11.38"/>
    <col customWidth="1" min="25" max="33" width="7.63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9.5" customHeight="1">
      <c r="A3" s="4" t="s">
        <v>1</v>
      </c>
      <c r="B3" s="5"/>
      <c r="C3" s="6"/>
      <c r="D3" s="6"/>
      <c r="E3" s="5"/>
      <c r="F3" s="6"/>
      <c r="G3" s="1"/>
      <c r="H3" s="1"/>
      <c r="I3" s="7" t="s">
        <v>2</v>
      </c>
      <c r="J3" s="7"/>
      <c r="K3" s="8">
        <f>COUNTIFS($B$8:$B$39,"&lt;&gt;",$I$8:$I$39,"Đang làm việc")</f>
        <v>32</v>
      </c>
      <c r="L3" s="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19.5" customHeight="1">
      <c r="A4" s="4" t="s">
        <v>3</v>
      </c>
      <c r="B4" s="5"/>
      <c r="C4" s="6"/>
      <c r="D4" s="6"/>
      <c r="E4" s="5"/>
      <c r="F4" s="6"/>
      <c r="G4" s="1"/>
      <c r="H4" s="1"/>
      <c r="I4" s="7" t="s">
        <v>4</v>
      </c>
      <c r="J4" s="7"/>
      <c r="K4" s="8">
        <f>COUNTIFS($B$8:$B$39,"&lt;&gt;",$C$8:$C$39,"Nữ",$I$8:$I$39,"Đang làm việc")</f>
        <v>16</v>
      </c>
      <c r="L4" s="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19.5" customHeight="1">
      <c r="A5" s="4" t="s">
        <v>5</v>
      </c>
      <c r="B5" s="5"/>
      <c r="C5" s="6"/>
      <c r="D5" s="6"/>
      <c r="E5" s="5"/>
      <c r="F5" s="6"/>
      <c r="G5" s="1"/>
      <c r="H5" s="1"/>
      <c r="I5" s="7"/>
      <c r="J5" s="7"/>
      <c r="K5" s="8"/>
      <c r="L5" s="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13.5" customHeight="1">
      <c r="A6" s="10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66.0" customHeight="1">
      <c r="A7" s="11" t="s">
        <v>6</v>
      </c>
      <c r="B7" s="11" t="s">
        <v>7</v>
      </c>
      <c r="C7" s="11" t="s">
        <v>8</v>
      </c>
      <c r="D7" s="11" t="s">
        <v>9</v>
      </c>
      <c r="E7" s="11" t="s">
        <v>10</v>
      </c>
      <c r="F7" s="11" t="s">
        <v>11</v>
      </c>
      <c r="G7" s="11" t="s">
        <v>12</v>
      </c>
      <c r="H7" s="11" t="s">
        <v>13</v>
      </c>
      <c r="I7" s="12" t="s">
        <v>14</v>
      </c>
      <c r="J7" s="12" t="s">
        <v>15</v>
      </c>
      <c r="K7" s="12" t="s">
        <v>16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22.5" customHeight="1">
      <c r="A8" s="13">
        <f t="shared" ref="A8:A39" si="1">IF($B8="","",COUNTA($B$8:$B8))</f>
        <v>1</v>
      </c>
      <c r="B8" s="14" t="s">
        <v>17</v>
      </c>
      <c r="C8" s="15" t="s">
        <v>18</v>
      </c>
      <c r="D8" s="16">
        <v>33110.0</v>
      </c>
      <c r="E8" s="17" t="s">
        <v>19</v>
      </c>
      <c r="F8" s="18" t="s">
        <v>20</v>
      </c>
      <c r="G8" s="14" t="s">
        <v>21</v>
      </c>
      <c r="H8" s="19"/>
      <c r="I8" s="15" t="s">
        <v>22</v>
      </c>
      <c r="J8" s="15"/>
      <c r="K8" s="1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22.5" customHeight="1">
      <c r="A9" s="13">
        <f t="shared" si="1"/>
        <v>2</v>
      </c>
      <c r="B9" s="14" t="s">
        <v>23</v>
      </c>
      <c r="C9" s="15" t="s">
        <v>18</v>
      </c>
      <c r="D9" s="15" t="s">
        <v>24</v>
      </c>
      <c r="E9" s="20" t="s">
        <v>25</v>
      </c>
      <c r="F9" s="14" t="s">
        <v>26</v>
      </c>
      <c r="G9" s="14" t="s">
        <v>27</v>
      </c>
      <c r="H9" s="19">
        <v>1.0</v>
      </c>
      <c r="I9" s="15" t="s">
        <v>22</v>
      </c>
      <c r="J9" s="21" t="s">
        <v>28</v>
      </c>
      <c r="K9" s="1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22.5" customHeight="1">
      <c r="A10" s="13">
        <f t="shared" si="1"/>
        <v>3</v>
      </c>
      <c r="B10" s="22" t="s">
        <v>29</v>
      </c>
      <c r="C10" s="13" t="s">
        <v>30</v>
      </c>
      <c r="D10" s="13" t="s">
        <v>31</v>
      </c>
      <c r="E10" s="20" t="s">
        <v>32</v>
      </c>
      <c r="F10" s="14" t="s">
        <v>33</v>
      </c>
      <c r="G10" s="22" t="s">
        <v>34</v>
      </c>
      <c r="H10" s="19">
        <v>1.0</v>
      </c>
      <c r="I10" s="15" t="s">
        <v>22</v>
      </c>
      <c r="J10" s="21" t="s">
        <v>28</v>
      </c>
      <c r="K10" s="23" t="s">
        <v>35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22.5" customHeight="1">
      <c r="A11" s="13">
        <f t="shared" si="1"/>
        <v>4</v>
      </c>
      <c r="B11" s="22" t="s">
        <v>36</v>
      </c>
      <c r="C11" s="13" t="s">
        <v>30</v>
      </c>
      <c r="D11" s="13" t="s">
        <v>37</v>
      </c>
      <c r="E11" s="20" t="s">
        <v>38</v>
      </c>
      <c r="F11" s="14" t="s">
        <v>39</v>
      </c>
      <c r="G11" s="22" t="s">
        <v>34</v>
      </c>
      <c r="H11" s="19">
        <v>1.0</v>
      </c>
      <c r="I11" s="15" t="s">
        <v>22</v>
      </c>
      <c r="J11" s="15"/>
      <c r="K11" s="2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22.5" customHeight="1">
      <c r="A12" s="13">
        <f t="shared" si="1"/>
        <v>5</v>
      </c>
      <c r="B12" s="22" t="s">
        <v>40</v>
      </c>
      <c r="C12" s="13" t="s">
        <v>30</v>
      </c>
      <c r="D12" s="13" t="s">
        <v>41</v>
      </c>
      <c r="E12" s="20" t="s">
        <v>42</v>
      </c>
      <c r="F12" s="14" t="s">
        <v>43</v>
      </c>
      <c r="G12" s="22" t="s">
        <v>34</v>
      </c>
      <c r="H12" s="19">
        <v>1.0</v>
      </c>
      <c r="I12" s="15" t="s">
        <v>22</v>
      </c>
      <c r="J12" s="15"/>
      <c r="K12" s="2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22.5" customHeight="1">
      <c r="A13" s="13">
        <f t="shared" si="1"/>
        <v>6</v>
      </c>
      <c r="B13" s="22" t="s">
        <v>44</v>
      </c>
      <c r="C13" s="15" t="s">
        <v>18</v>
      </c>
      <c r="D13" s="13" t="s">
        <v>45</v>
      </c>
      <c r="E13" s="20" t="s">
        <v>46</v>
      </c>
      <c r="F13" s="14" t="s">
        <v>47</v>
      </c>
      <c r="G13" s="22" t="s">
        <v>34</v>
      </c>
      <c r="H13" s="19">
        <v>1.0</v>
      </c>
      <c r="I13" s="15" t="s">
        <v>22</v>
      </c>
      <c r="J13" s="15"/>
      <c r="K13" s="2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22.5" customHeight="1">
      <c r="A14" s="13">
        <f t="shared" si="1"/>
        <v>7</v>
      </c>
      <c r="B14" s="22" t="s">
        <v>48</v>
      </c>
      <c r="C14" s="15" t="s">
        <v>18</v>
      </c>
      <c r="D14" s="13" t="s">
        <v>49</v>
      </c>
      <c r="E14" s="20" t="s">
        <v>50</v>
      </c>
      <c r="F14" s="14" t="s">
        <v>51</v>
      </c>
      <c r="G14" s="22" t="s">
        <v>27</v>
      </c>
      <c r="H14" s="19">
        <v>2.0</v>
      </c>
      <c r="I14" s="15" t="s">
        <v>22</v>
      </c>
      <c r="J14" s="15"/>
      <c r="K14" s="2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22.5" customHeight="1">
      <c r="A15" s="13">
        <f t="shared" si="1"/>
        <v>8</v>
      </c>
      <c r="B15" s="22" t="s">
        <v>52</v>
      </c>
      <c r="C15" s="15" t="s">
        <v>18</v>
      </c>
      <c r="D15" s="13" t="s">
        <v>53</v>
      </c>
      <c r="E15" s="20" t="s">
        <v>54</v>
      </c>
      <c r="F15" s="14" t="s">
        <v>55</v>
      </c>
      <c r="G15" s="22" t="s">
        <v>56</v>
      </c>
      <c r="H15" s="19">
        <v>2.0</v>
      </c>
      <c r="I15" s="15" t="s">
        <v>22</v>
      </c>
      <c r="J15" s="15"/>
      <c r="K15" s="2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22.5" customHeight="1">
      <c r="A16" s="13">
        <f t="shared" si="1"/>
        <v>9</v>
      </c>
      <c r="B16" s="22" t="s">
        <v>57</v>
      </c>
      <c r="C16" s="13" t="s">
        <v>30</v>
      </c>
      <c r="D16" s="13" t="s">
        <v>58</v>
      </c>
      <c r="E16" s="20" t="s">
        <v>59</v>
      </c>
      <c r="F16" s="14" t="s">
        <v>60</v>
      </c>
      <c r="G16" s="22" t="s">
        <v>61</v>
      </c>
      <c r="H16" s="19">
        <v>3.0</v>
      </c>
      <c r="I16" s="15" t="s">
        <v>22</v>
      </c>
      <c r="J16" s="15"/>
      <c r="K16" s="2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22.5" customHeight="1">
      <c r="A17" s="13">
        <f t="shared" si="1"/>
        <v>10</v>
      </c>
      <c r="B17" s="22" t="s">
        <v>62</v>
      </c>
      <c r="C17" s="13" t="s">
        <v>30</v>
      </c>
      <c r="D17" s="13" t="s">
        <v>63</v>
      </c>
      <c r="E17" s="20" t="s">
        <v>64</v>
      </c>
      <c r="F17" s="14" t="s">
        <v>65</v>
      </c>
      <c r="G17" s="22" t="s">
        <v>34</v>
      </c>
      <c r="H17" s="19">
        <v>3.0</v>
      </c>
      <c r="I17" s="15" t="s">
        <v>22</v>
      </c>
      <c r="J17" s="15"/>
      <c r="K17" s="2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22.5" customHeight="1">
      <c r="A18" s="13">
        <f t="shared" si="1"/>
        <v>11</v>
      </c>
      <c r="B18" s="22" t="s">
        <v>66</v>
      </c>
      <c r="C18" s="15" t="s">
        <v>18</v>
      </c>
      <c r="D18" s="13" t="s">
        <v>67</v>
      </c>
      <c r="E18" s="20" t="s">
        <v>68</v>
      </c>
      <c r="F18" s="14" t="s">
        <v>69</v>
      </c>
      <c r="G18" s="22" t="s">
        <v>34</v>
      </c>
      <c r="H18" s="19">
        <v>3.0</v>
      </c>
      <c r="I18" s="15" t="s">
        <v>22</v>
      </c>
      <c r="J18" s="15"/>
      <c r="K18" s="2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22.5" customHeight="1">
      <c r="A19" s="13">
        <f t="shared" si="1"/>
        <v>12</v>
      </c>
      <c r="B19" s="22" t="s">
        <v>70</v>
      </c>
      <c r="C19" s="13" t="s">
        <v>30</v>
      </c>
      <c r="D19" s="13" t="s">
        <v>71</v>
      </c>
      <c r="E19" s="20" t="s">
        <v>72</v>
      </c>
      <c r="F19" s="14" t="s">
        <v>73</v>
      </c>
      <c r="G19" s="22" t="s">
        <v>34</v>
      </c>
      <c r="H19" s="19">
        <v>3.0</v>
      </c>
      <c r="I19" s="15" t="s">
        <v>22</v>
      </c>
      <c r="J19" s="15"/>
      <c r="K19" s="2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22.5" customHeight="1">
      <c r="A20" s="13">
        <f t="shared" si="1"/>
        <v>13</v>
      </c>
      <c r="B20" s="22" t="s">
        <v>74</v>
      </c>
      <c r="C20" s="15" t="s">
        <v>18</v>
      </c>
      <c r="D20" s="13" t="s">
        <v>75</v>
      </c>
      <c r="E20" s="20" t="s">
        <v>76</v>
      </c>
      <c r="F20" s="14" t="s">
        <v>77</v>
      </c>
      <c r="G20" s="22" t="s">
        <v>78</v>
      </c>
      <c r="H20" s="19">
        <v>3.0</v>
      </c>
      <c r="I20" s="15" t="s">
        <v>22</v>
      </c>
      <c r="J20" s="15"/>
      <c r="K20" s="2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22.5" customHeight="1">
      <c r="A21" s="13">
        <f t="shared" si="1"/>
        <v>14</v>
      </c>
      <c r="B21" s="22" t="s">
        <v>79</v>
      </c>
      <c r="C21" s="13" t="s">
        <v>30</v>
      </c>
      <c r="D21" s="13" t="s">
        <v>80</v>
      </c>
      <c r="E21" s="20" t="s">
        <v>81</v>
      </c>
      <c r="F21" s="14" t="s">
        <v>82</v>
      </c>
      <c r="G21" s="22" t="s">
        <v>34</v>
      </c>
      <c r="H21" s="19">
        <v>4.0</v>
      </c>
      <c r="I21" s="15" t="s">
        <v>22</v>
      </c>
      <c r="J21" s="15"/>
      <c r="K21" s="2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22.5" customHeight="1">
      <c r="A22" s="13">
        <f t="shared" si="1"/>
        <v>15</v>
      </c>
      <c r="B22" s="22" t="s">
        <v>83</v>
      </c>
      <c r="C22" s="15" t="s">
        <v>18</v>
      </c>
      <c r="D22" s="13" t="s">
        <v>84</v>
      </c>
      <c r="E22" s="20" t="s">
        <v>85</v>
      </c>
      <c r="F22" s="24" t="s">
        <v>86</v>
      </c>
      <c r="G22" s="22" t="s">
        <v>34</v>
      </c>
      <c r="H22" s="19">
        <v>4.0</v>
      </c>
      <c r="I22" s="15" t="s">
        <v>22</v>
      </c>
      <c r="J22" s="15"/>
      <c r="K22" s="2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22.5" customHeight="1">
      <c r="A23" s="13">
        <f t="shared" si="1"/>
        <v>16</v>
      </c>
      <c r="B23" s="22" t="s">
        <v>87</v>
      </c>
      <c r="C23" s="15" t="s">
        <v>18</v>
      </c>
      <c r="D23" s="13" t="s">
        <v>88</v>
      </c>
      <c r="E23" s="20" t="s">
        <v>89</v>
      </c>
      <c r="F23" s="14" t="s">
        <v>90</v>
      </c>
      <c r="G23" s="22" t="s">
        <v>34</v>
      </c>
      <c r="H23" s="19">
        <v>5.0</v>
      </c>
      <c r="I23" s="15" t="s">
        <v>22</v>
      </c>
      <c r="J23" s="15"/>
      <c r="K23" s="2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22.5" customHeight="1">
      <c r="A24" s="13">
        <f t="shared" si="1"/>
        <v>17</v>
      </c>
      <c r="B24" s="22" t="s">
        <v>91</v>
      </c>
      <c r="C24" s="13" t="s">
        <v>30</v>
      </c>
      <c r="D24" s="13" t="s">
        <v>92</v>
      </c>
      <c r="E24" s="20" t="s">
        <v>93</v>
      </c>
      <c r="F24" s="14" t="s">
        <v>94</v>
      </c>
      <c r="G24" s="22" t="s">
        <v>27</v>
      </c>
      <c r="H24" s="19">
        <v>5.0</v>
      </c>
      <c r="I24" s="15" t="s">
        <v>22</v>
      </c>
      <c r="J24" s="15"/>
      <c r="K24" s="2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22.5" customHeight="1">
      <c r="A25" s="13">
        <f t="shared" si="1"/>
        <v>18</v>
      </c>
      <c r="B25" s="22" t="s">
        <v>95</v>
      </c>
      <c r="C25" s="13" t="s">
        <v>30</v>
      </c>
      <c r="D25" s="13" t="s">
        <v>96</v>
      </c>
      <c r="E25" s="20" t="s">
        <v>97</v>
      </c>
      <c r="F25" s="14" t="s">
        <v>98</v>
      </c>
      <c r="G25" s="22" t="s">
        <v>34</v>
      </c>
      <c r="H25" s="19">
        <v>5.0</v>
      </c>
      <c r="I25" s="15" t="s">
        <v>22</v>
      </c>
      <c r="J25" s="21" t="s">
        <v>28</v>
      </c>
      <c r="K25" s="2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22.5" customHeight="1">
      <c r="A26" s="13">
        <f t="shared" si="1"/>
        <v>19</v>
      </c>
      <c r="B26" s="22" t="s">
        <v>99</v>
      </c>
      <c r="C26" s="15" t="s">
        <v>18</v>
      </c>
      <c r="D26" s="13" t="s">
        <v>100</v>
      </c>
      <c r="E26" s="20" t="s">
        <v>101</v>
      </c>
      <c r="F26" s="14" t="s">
        <v>102</v>
      </c>
      <c r="G26" s="22" t="s">
        <v>103</v>
      </c>
      <c r="H26" s="19">
        <v>3.0</v>
      </c>
      <c r="I26" s="15" t="s">
        <v>22</v>
      </c>
      <c r="J26" s="15"/>
      <c r="K26" s="2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22.5" customHeight="1">
      <c r="A27" s="13">
        <f t="shared" si="1"/>
        <v>20</v>
      </c>
      <c r="B27" s="22" t="s">
        <v>104</v>
      </c>
      <c r="C27" s="13" t="s">
        <v>30</v>
      </c>
      <c r="D27" s="13" t="s">
        <v>105</v>
      </c>
      <c r="E27" s="20" t="s">
        <v>106</v>
      </c>
      <c r="F27" s="14" t="s">
        <v>107</v>
      </c>
      <c r="G27" s="22" t="s">
        <v>103</v>
      </c>
      <c r="H27" s="19">
        <v>1.0</v>
      </c>
      <c r="I27" s="15" t="s">
        <v>22</v>
      </c>
      <c r="J27" s="15"/>
      <c r="K27" s="2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22.5" customHeight="1">
      <c r="A28" s="13">
        <f t="shared" si="1"/>
        <v>21</v>
      </c>
      <c r="B28" s="22" t="s">
        <v>108</v>
      </c>
      <c r="C28" s="15" t="s">
        <v>18</v>
      </c>
      <c r="D28" s="13" t="s">
        <v>109</v>
      </c>
      <c r="E28" s="20" t="s">
        <v>110</v>
      </c>
      <c r="F28" s="14" t="s">
        <v>111</v>
      </c>
      <c r="G28" s="22" t="s">
        <v>103</v>
      </c>
      <c r="H28" s="19">
        <v>1.0</v>
      </c>
      <c r="I28" s="15" t="s">
        <v>22</v>
      </c>
      <c r="J28" s="15"/>
      <c r="K28" s="2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22.5" customHeight="1">
      <c r="A29" s="13">
        <f t="shared" si="1"/>
        <v>22</v>
      </c>
      <c r="B29" s="22" t="s">
        <v>112</v>
      </c>
      <c r="C29" s="13" t="s">
        <v>30</v>
      </c>
      <c r="D29" s="13" t="s">
        <v>113</v>
      </c>
      <c r="E29" s="20" t="s">
        <v>114</v>
      </c>
      <c r="F29" s="14" t="s">
        <v>115</v>
      </c>
      <c r="G29" s="22" t="s">
        <v>103</v>
      </c>
      <c r="H29" s="19">
        <v>3.0</v>
      </c>
      <c r="I29" s="15" t="s">
        <v>22</v>
      </c>
      <c r="J29" s="15"/>
      <c r="K29" s="2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22.5" customHeight="1">
      <c r="A30" s="13">
        <f t="shared" si="1"/>
        <v>23</v>
      </c>
      <c r="B30" s="22" t="s">
        <v>116</v>
      </c>
      <c r="C30" s="13" t="s">
        <v>30</v>
      </c>
      <c r="D30" s="13" t="s">
        <v>117</v>
      </c>
      <c r="E30" s="20" t="s">
        <v>118</v>
      </c>
      <c r="F30" s="14" t="s">
        <v>119</v>
      </c>
      <c r="G30" s="22" t="s">
        <v>120</v>
      </c>
      <c r="H30" s="22" t="s">
        <v>120</v>
      </c>
      <c r="I30" s="15" t="s">
        <v>22</v>
      </c>
      <c r="J30" s="15" t="s">
        <v>28</v>
      </c>
      <c r="K30" s="2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22.5" customHeight="1">
      <c r="A31" s="13">
        <f t="shared" si="1"/>
        <v>24</v>
      </c>
      <c r="B31" s="22" t="s">
        <v>121</v>
      </c>
      <c r="C31" s="13" t="s">
        <v>30</v>
      </c>
      <c r="D31" s="13" t="s">
        <v>122</v>
      </c>
      <c r="E31" s="20" t="s">
        <v>123</v>
      </c>
      <c r="F31" s="14" t="s">
        <v>124</v>
      </c>
      <c r="G31" s="22" t="s">
        <v>120</v>
      </c>
      <c r="H31" s="22" t="s">
        <v>120</v>
      </c>
      <c r="I31" s="15" t="s">
        <v>22</v>
      </c>
      <c r="J31" s="15"/>
      <c r="K31" s="2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22.5" customHeight="1">
      <c r="A32" s="13">
        <f t="shared" si="1"/>
        <v>25</v>
      </c>
      <c r="B32" s="22" t="s">
        <v>125</v>
      </c>
      <c r="C32" s="13" t="s">
        <v>30</v>
      </c>
      <c r="D32" s="13" t="s">
        <v>126</v>
      </c>
      <c r="E32" s="20" t="s">
        <v>127</v>
      </c>
      <c r="F32" s="14" t="s">
        <v>128</v>
      </c>
      <c r="G32" s="22" t="s">
        <v>120</v>
      </c>
      <c r="H32" s="22" t="s">
        <v>120</v>
      </c>
      <c r="I32" s="15" t="s">
        <v>22</v>
      </c>
      <c r="J32" s="15"/>
      <c r="K32" s="2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22.5" customHeight="1">
      <c r="A33" s="13">
        <f t="shared" si="1"/>
        <v>26</v>
      </c>
      <c r="B33" s="22" t="s">
        <v>129</v>
      </c>
      <c r="C33" s="15" t="s">
        <v>18</v>
      </c>
      <c r="D33" s="13" t="s">
        <v>130</v>
      </c>
      <c r="E33" s="20" t="s">
        <v>131</v>
      </c>
      <c r="F33" s="14" t="s">
        <v>132</v>
      </c>
      <c r="G33" s="22" t="s">
        <v>133</v>
      </c>
      <c r="H33" s="25" t="s">
        <v>134</v>
      </c>
      <c r="I33" s="15" t="s">
        <v>22</v>
      </c>
      <c r="J33" s="15"/>
      <c r="K33" s="2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22.5" customHeight="1">
      <c r="A34" s="13">
        <f t="shared" si="1"/>
        <v>27</v>
      </c>
      <c r="B34" s="22" t="s">
        <v>135</v>
      </c>
      <c r="C34" s="15" t="s">
        <v>18</v>
      </c>
      <c r="D34" s="13" t="s">
        <v>136</v>
      </c>
      <c r="E34" s="20" t="s">
        <v>137</v>
      </c>
      <c r="F34" s="14" t="s">
        <v>138</v>
      </c>
      <c r="G34" s="22" t="s">
        <v>133</v>
      </c>
      <c r="H34" s="25" t="s">
        <v>134</v>
      </c>
      <c r="I34" s="15" t="s">
        <v>22</v>
      </c>
      <c r="J34" s="21" t="s">
        <v>28</v>
      </c>
      <c r="K34" s="23" t="s">
        <v>139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22.5" customHeight="1">
      <c r="A35" s="13">
        <f t="shared" si="1"/>
        <v>28</v>
      </c>
      <c r="B35" s="22" t="s">
        <v>140</v>
      </c>
      <c r="C35" s="15" t="s">
        <v>18</v>
      </c>
      <c r="D35" s="13" t="s">
        <v>141</v>
      </c>
      <c r="E35" s="20" t="s">
        <v>142</v>
      </c>
      <c r="F35" s="14" t="s">
        <v>143</v>
      </c>
      <c r="G35" s="22" t="s">
        <v>133</v>
      </c>
      <c r="H35" s="25" t="s">
        <v>134</v>
      </c>
      <c r="I35" s="15" t="s">
        <v>22</v>
      </c>
      <c r="J35" s="15"/>
      <c r="K35" s="2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22.5" customHeight="1">
      <c r="A36" s="13">
        <f t="shared" si="1"/>
        <v>29</v>
      </c>
      <c r="B36" s="22" t="s">
        <v>144</v>
      </c>
      <c r="C36" s="15" t="s">
        <v>18</v>
      </c>
      <c r="D36" s="13" t="s">
        <v>145</v>
      </c>
      <c r="E36" s="20" t="s">
        <v>146</v>
      </c>
      <c r="F36" s="14" t="s">
        <v>147</v>
      </c>
      <c r="G36" s="22" t="s">
        <v>148</v>
      </c>
      <c r="H36" s="25" t="s">
        <v>149</v>
      </c>
      <c r="I36" s="15" t="s">
        <v>22</v>
      </c>
      <c r="J36" s="15"/>
      <c r="K36" s="2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22.5" customHeight="1">
      <c r="A37" s="13">
        <f t="shared" si="1"/>
        <v>30</v>
      </c>
      <c r="B37" s="22" t="s">
        <v>150</v>
      </c>
      <c r="C37" s="15" t="s">
        <v>18</v>
      </c>
      <c r="D37" s="13"/>
      <c r="E37" s="26"/>
      <c r="F37" s="27" t="s">
        <v>151</v>
      </c>
      <c r="G37" s="22" t="s">
        <v>34</v>
      </c>
      <c r="H37" s="19">
        <v>3.0</v>
      </c>
      <c r="I37" s="15" t="s">
        <v>22</v>
      </c>
      <c r="J37" s="15"/>
      <c r="K37" s="2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22.5" customHeight="1">
      <c r="A38" s="13">
        <f t="shared" si="1"/>
        <v>31</v>
      </c>
      <c r="B38" s="22" t="s">
        <v>152</v>
      </c>
      <c r="C38" s="13" t="s">
        <v>30</v>
      </c>
      <c r="D38" s="13"/>
      <c r="E38" s="26"/>
      <c r="F38" s="27" t="s">
        <v>153</v>
      </c>
      <c r="G38" s="22" t="s">
        <v>34</v>
      </c>
      <c r="H38" s="19">
        <v>4.0</v>
      </c>
      <c r="I38" s="15" t="s">
        <v>22</v>
      </c>
      <c r="J38" s="15"/>
      <c r="K38" s="2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22.5" customHeight="1">
      <c r="A39" s="13">
        <f t="shared" si="1"/>
        <v>32</v>
      </c>
      <c r="B39" s="22" t="s">
        <v>154</v>
      </c>
      <c r="C39" s="13" t="s">
        <v>30</v>
      </c>
      <c r="D39" s="28">
        <v>38318.0</v>
      </c>
      <c r="E39" s="26" t="s">
        <v>155</v>
      </c>
      <c r="F39" s="29" t="s">
        <v>156</v>
      </c>
      <c r="G39" s="22" t="s">
        <v>34</v>
      </c>
      <c r="H39" s="19">
        <v>5.0</v>
      </c>
      <c r="I39" s="15" t="s">
        <v>22</v>
      </c>
      <c r="J39" s="15"/>
      <c r="K39" s="2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autoFilter ref="$A$7:$K$39"/>
  <conditionalFormatting sqref="A8:K39">
    <cfRule type="expression" dxfId="0" priority="1">
      <formula>AND($B8&lt;&gt;"",ISNUMBER(#REF!),$I8="Đang làm việc",#REF!&lt;TODAY())</formula>
    </cfRule>
  </conditionalFormatting>
  <conditionalFormatting sqref="A8:K39">
    <cfRule type="expression" dxfId="1" priority="2">
      <formula>AND($B8&lt;&gt;"",ISNUMBER(#REF!),$I8="Đang làm việc",#REF!&gt;=TODAY(),#REF!&lt;=TODAY()+30)</formula>
    </cfRule>
  </conditionalFormatting>
  <conditionalFormatting sqref="A8:K39">
    <cfRule type="expression" dxfId="2" priority="3">
      <formula>AND($B8&lt;&gt;"",$I8="Đã nghỉ")</formula>
    </cfRule>
  </conditionalFormatting>
  <dataValidations>
    <dataValidation type="date" allowBlank="1" showInputMessage="1" showErrorMessage="1" prompt="Ngày dd/mm/yyyy - Ví dụ: 05/03/2026" sqref="D8:D39">
      <formula1>1.0</formula1>
      <formula2>73050.0</formula2>
    </dataValidation>
    <dataValidation type="list" allowBlank="1" showInputMessage="1" showErrorMessage="1" prompt="Giá trị không có trong danh mục - Hãy bấm mũi tên bên phải ô và chọn từ danh sách.&#10;Muốn thêm giá trị mới: mở sheet DANH MUC, gõ thêm vào cuối danh sách tương ứng." sqref="J8:J39">
      <formula1>"Đồng ý,Không"</formula1>
    </dataValidation>
    <dataValidation type="list" allowBlank="1" showInputMessage="1" showErrorMessage="1" prompt="Giá trị không có trong danh mục - Hãy bấm mũi tên bên phải ô và chọn từ danh sách.&#10;Muốn thêm giá trị mới: mở sheet DANH MUC, gõ thêm vào cuối danh sách tương ứng." sqref="C8:C39">
      <formula1>DM_GioiTinh</formula1>
    </dataValidation>
    <dataValidation type="list" allowBlank="1" showInputMessage="1" showErrorMessage="1" prompt="Giá trị không có trong danh mục - Hãy bấm mũi tên bên phải ô và chọn từ danh sách.&#10;Muốn thêm giá trị mới: mở sheet DANH MUC, gõ thêm vào cuối danh sách tương ứng." sqref="I8:I39">
      <formula1>DM_TrangThai</formula1>
    </dataValidation>
  </dataValidations>
  <printOptions horizontalCentered="1"/>
  <pageMargins bottom="0.45" footer="0.0" header="0.0" left="0.3" right="0.3" top="0.4"/>
  <pageSetup fitToHeight="0" paperSize="9" orientation="landscape"/>
  <headerFooter>
    <oddFooter>&amp;C Trang &amp;P / &amp;R In ngày &amp;D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2026-08-28T03:07:00Z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9DADA300A7B449D98A97B6765F850C4B_12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